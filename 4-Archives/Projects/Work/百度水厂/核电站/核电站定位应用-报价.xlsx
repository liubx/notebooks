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/>
  <xr:revisionPtr revIDLastSave="0" documentId="13_ncr:1_{F3D5EF56-CFFD-4B6E-B234-236B2C561BF0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项目报价-成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20" i="1" l="1"/>
  <c r="F19" i="1"/>
  <c r="F26" i="1"/>
  <c r="F25" i="1"/>
  <c r="F18" i="1"/>
  <c r="F17" i="1"/>
  <c r="F16" i="1"/>
  <c r="F21" i="1" s="1"/>
  <c r="F27" i="1" l="1"/>
  <c r="F10" i="1" l="1"/>
  <c r="F11" i="1"/>
  <c r="F8" i="1"/>
  <c r="F12" i="1" l="1"/>
  <c r="D30" i="1" s="1"/>
  <c r="C30" i="1" l="1"/>
</calcChain>
</file>

<file path=xl/sharedStrings.xml><?xml version="1.0" encoding="utf-8"?>
<sst xmlns="http://schemas.openxmlformats.org/spreadsheetml/2006/main" count="68" uniqueCount="52">
  <si>
    <t>单价（元）</t>
  </si>
  <si>
    <t>价格</t>
  </si>
  <si>
    <t>备注</t>
  </si>
  <si>
    <t>名称</t>
    <phoneticPr fontId="2" type="noConversion"/>
  </si>
  <si>
    <t>数量</t>
    <phoneticPr fontId="2" type="noConversion"/>
  </si>
  <si>
    <t>功能描述</t>
    <phoneticPr fontId="2" type="noConversion"/>
  </si>
  <si>
    <t>单价（元）</t>
    <phoneticPr fontId="2" type="noConversion"/>
  </si>
  <si>
    <t>价格</t>
    <phoneticPr fontId="2" type="noConversion"/>
  </si>
  <si>
    <t>备注</t>
    <phoneticPr fontId="2" type="noConversion"/>
  </si>
  <si>
    <t>序号</t>
    <phoneticPr fontId="2" type="noConversion"/>
  </si>
  <si>
    <t>大写金额</t>
    <phoneticPr fontId="2" type="noConversion"/>
  </si>
  <si>
    <t>产品实施与应用支持服务</t>
    <phoneticPr fontId="2" type="noConversion"/>
  </si>
  <si>
    <t>小计</t>
    <phoneticPr fontId="2" type="noConversion"/>
  </si>
  <si>
    <t>硬  件  产  品</t>
    <phoneticPr fontId="2" type="noConversion"/>
  </si>
  <si>
    <t>软  件  产  品</t>
    <phoneticPr fontId="2" type="noConversion"/>
  </si>
  <si>
    <t>项目</t>
    <phoneticPr fontId="2" type="noConversion"/>
  </si>
  <si>
    <t>客户</t>
    <phoneticPr fontId="2" type="noConversion"/>
  </si>
  <si>
    <t>联系人</t>
    <phoneticPr fontId="2" type="noConversion"/>
  </si>
  <si>
    <t>伍峥</t>
    <phoneticPr fontId="2" type="noConversion"/>
  </si>
  <si>
    <t>项  目  报  价  清  单</t>
    <phoneticPr fontId="2" type="noConversion"/>
  </si>
  <si>
    <t>电话：18518788128                           邮    箱：zheng.wu@reliablesense.cn</t>
    <phoneticPr fontId="2" type="noConversion"/>
  </si>
  <si>
    <t xml:space="preserve">合  计  金  额  </t>
    <phoneticPr fontId="2" type="noConversion"/>
  </si>
  <si>
    <t>麦钉艾特---李素敏</t>
    <phoneticPr fontId="2" type="noConversion"/>
  </si>
  <si>
    <t>基础服务---云端展示应用</t>
    <phoneticPr fontId="2" type="noConversion"/>
  </si>
  <si>
    <t>基于定位系统的地图界面嵌入访问监控系统的监控摄像头，能够直接提取访问到指定摄像头的实时影像信息。</t>
    <phoneticPr fontId="2" type="noConversion"/>
  </si>
  <si>
    <t>实时定位地图呈现
定位对象管理
定位设备管理； 
二维、三维GIS地图服务
室内地图服务
电子围栏
告警服务
数据统计、分析应用
数据呈现热力图效果
定位轨迹回放和追溯</t>
    <phoneticPr fontId="2" type="noConversion"/>
  </si>
  <si>
    <t>基于需求提供的CAD图纸构建室内3D地图模型；</t>
    <phoneticPr fontId="2" type="noConversion"/>
  </si>
  <si>
    <t>室内3D地图绘制服务</t>
    <phoneticPr fontId="2" type="noConversion"/>
  </si>
  <si>
    <t>需要提前告知对接系统的相关具体信息</t>
    <phoneticPr fontId="2" type="noConversion"/>
  </si>
  <si>
    <t>需要提前告知实际具体图纸信息</t>
    <phoneticPr fontId="2" type="noConversion"/>
  </si>
  <si>
    <t>洗煤厂定位应用项目</t>
    <phoneticPr fontId="2" type="noConversion"/>
  </si>
  <si>
    <t>报价日期：2021-12-9， 有效期：20天内有效</t>
    <phoneticPr fontId="2" type="noConversion"/>
  </si>
  <si>
    <r>
      <t>室内AoA</t>
    </r>
    <r>
      <rPr>
        <sz val="12"/>
        <color rgb="FF000000"/>
        <rFont val="Microsoft YaHei"/>
        <family val="2"/>
        <charset val="134"/>
      </rPr>
      <t>基站</t>
    </r>
    <phoneticPr fontId="2" type="noConversion"/>
  </si>
  <si>
    <t>供电：POE供电，IEEE 802.3af 
覆盖半径：最大30米。
防水等级：IP67
定位精度：0.1~1m
工作温度：-20℃~60℃
尺寸：22cm*22cm*5cm</t>
    <phoneticPr fontId="2" type="noConversion"/>
  </si>
  <si>
    <t>工业级光电转换器</t>
    <phoneticPr fontId="2" type="noConversion"/>
  </si>
  <si>
    <t>工业级交换机</t>
    <phoneticPr fontId="2" type="noConversion"/>
  </si>
  <si>
    <t xml:space="preserve">百兆单模光纤转RJ45电缆，工作温度-30到+75  导轨式安装 </t>
    <phoneticPr fontId="2" type="noConversion"/>
  </si>
  <si>
    <t>开发服务---与第三方系统对接</t>
    <phoneticPr fontId="2" type="noConversion"/>
  </si>
  <si>
    <t>将相关定位数据推送到对接的大平台系统</t>
    <phoneticPr fontId="2" type="noConversion"/>
  </si>
  <si>
    <t>现场软件系统实施服务</t>
    <phoneticPr fontId="2" type="noConversion"/>
  </si>
  <si>
    <t>仅包含项目软件系统方面的实施服务 (每人/天)</t>
    <phoneticPr fontId="2" type="noConversion"/>
  </si>
  <si>
    <t>单价为每人每天</t>
    <phoneticPr fontId="2" type="noConversion"/>
  </si>
  <si>
    <t>不包含安装实施、及安装配件与相关线缆费用</t>
    <phoneticPr fontId="2" type="noConversion"/>
  </si>
  <si>
    <t>AoA定位引擎转发单元</t>
    <phoneticPr fontId="2" type="noConversion"/>
  </si>
  <si>
    <t>定位系统与监控系统联动单元</t>
    <phoneticPr fontId="2" type="noConversion"/>
  </si>
  <si>
    <t>集成AoA定位引擎数据</t>
    <phoneticPr fontId="2" type="noConversion"/>
  </si>
  <si>
    <t>移动端APP安卓</t>
    <phoneticPr fontId="2" type="noConversion"/>
  </si>
  <si>
    <t>基于定位系统的安卓APP移动端。提供室内外定位。</t>
    <phoneticPr fontId="2" type="noConversion"/>
  </si>
  <si>
    <t>注：
1、软硬件产品价格包含13%税费，国家政策变更则随政策调整； 
2、产品实施与应用支持服务价格包含6%税费，国家政策变更则随政策调整。
3、本报价中不包含此项目所涉及的工程施工与相关施工材料费用
4、现场需提供满足项目应用的服务器设备与互联网访问条件
5、本报价解释权归莱讯（苏州）计算机科技有限公司所有。</t>
    <phoneticPr fontId="2" type="noConversion"/>
  </si>
  <si>
    <t>供电：POE供电，IEEE 802.3af 
覆盖半径：最大10米。
防水等级：IP54
定位精度：0.1~1m
工作温度：-20℃~60℃
尺寸：22cm*22cm*5cm</t>
    <phoneticPr fontId="2" type="noConversion"/>
  </si>
  <si>
    <t>百兆8端口 工作温度-30到+75 导轨式安装</t>
    <phoneticPr fontId="2" type="noConversion"/>
  </si>
  <si>
    <r>
      <t>室内长距离AoA</t>
    </r>
    <r>
      <rPr>
        <sz val="12"/>
        <color rgb="FF000000"/>
        <rFont val="微软雅黑"/>
        <family val="2"/>
        <charset val="134"/>
      </rPr>
      <t>基站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</si>
</sst>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176" formatCode="0."/>
    <numFmt numFmtId="177" formatCode="\¥#,#00.00"/>
    <numFmt numFmtId="178" formatCode="0_ "/>
    <numFmt numFmtId="179" formatCode="[DBNum2][$-804]General"/>
    <numFmt numFmtId="180" formatCode="&quot;¥&quot;#,##0.00"/>
  </numFmts>
  <fonts count="18">
    <font>
      <sz val="11"/>
      <color theme="1"/>
      <name val="宋体"/>
      <family val="2"/>
      <scheme val="minor"/>
    </font>
    <font>
      <sz val="19"/>
      <name val="等线"/>
      <family val="2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b/>
      <sz val="16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theme="0"/>
      <name val="微软雅黑"/>
      <family val="2"/>
      <charset val="134"/>
    </font>
    <font>
      <sz val="14"/>
      <name val="等线"/>
      <family val="4"/>
      <charset val="134"/>
    </font>
    <font>
      <sz val="14"/>
      <color theme="1"/>
      <name val="等线"/>
      <family val="4"/>
      <charset val="134"/>
    </font>
    <font>
      <b/>
      <sz val="20"/>
      <color theme="0"/>
      <name val="微软雅黑"/>
      <family val="2"/>
      <charset val="134"/>
    </font>
    <font>
      <b/>
      <sz val="14"/>
      <name val="微软雅黑"/>
      <family val="2"/>
      <charset val="134"/>
    </font>
    <font>
      <sz val="14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4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FF9F"/>
        <bgColor indexed="64"/>
      </patternFill>
    </fill>
  </fills>
  <borders count="1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D8D8D8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D8D8D8"/>
      </right>
      <top/>
      <bottom style="thin">
        <color rgb="FF595959"/>
      </bottom>
      <diagonal/>
    </border>
    <border>
      <left style="thin">
        <color rgb="FFD8D8D8"/>
      </left>
      <right/>
      <top style="thin">
        <color rgb="FF595959"/>
      </top>
      <bottom style="thin">
        <color rgb="FFD8D8D8"/>
      </bottom>
      <diagonal/>
    </border>
    <border>
      <left/>
      <right style="thin">
        <color rgb="FFD8D8D8"/>
      </right>
      <top style="thin">
        <color rgb="FF595959"/>
      </top>
      <bottom style="thin">
        <color rgb="FFD8D8D8"/>
      </bottom>
      <diagonal/>
    </border>
  </borders>
  <cellStyleXfs count="1">
    <xf numFmtId="0" fontId="0" fillId="0" borderId="0"/>
  </cellStyleXfs>
  <cellXfs count="50">
    <xf numFmtId="0" fontId="0" fillId="0" borderId="0" xfId="0"/>
    <xf numFmtId="176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77" fontId="4" fillId="5" borderId="0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left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177" fontId="15" fillId="4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7" fontId="3" fillId="2" borderId="1" xfId="0" applyNumberFormat="1" applyFont="1" applyFill="1" applyBorder="1" applyAlignment="1">
      <alignment horizontal="left" vertical="center" wrapText="1"/>
    </xf>
    <xf numFmtId="177" fontId="3" fillId="7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0" fontId="4" fillId="6" borderId="5" xfId="0" applyNumberFormat="1" applyFont="1" applyFill="1" applyBorder="1" applyAlignment="1">
      <alignment horizontal="center" vertical="center" wrapText="1"/>
    </xf>
    <xf numFmtId="180" fontId="4" fillId="6" borderId="6" xfId="0" applyNumberFormat="1" applyFont="1" applyFill="1" applyBorder="1" applyAlignment="1">
      <alignment horizontal="center" vertical="center" wrapText="1"/>
    </xf>
    <xf numFmtId="177" fontId="15" fillId="2" borderId="4" xfId="0" applyNumberFormat="1" applyFont="1" applyFill="1" applyBorder="1" applyAlignment="1">
      <alignment horizontal="left" vertical="center" wrapText="1"/>
    </xf>
    <xf numFmtId="177" fontId="15" fillId="2" borderId="6" xfId="0" applyNumberFormat="1" applyFont="1" applyFill="1" applyBorder="1" applyAlignment="1">
      <alignment horizontal="left" vertical="center" wrapText="1"/>
    </xf>
    <xf numFmtId="179" fontId="5" fillId="6" borderId="4" xfId="0" applyNumberFormat="1" applyFont="1" applyFill="1" applyBorder="1" applyAlignment="1">
      <alignment horizontal="center" vertical="center" wrapText="1"/>
    </xf>
    <xf numFmtId="179" fontId="5" fillId="6" borderId="6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right" vertical="center" wrapText="1"/>
    </xf>
    <xf numFmtId="176" fontId="7" fillId="5" borderId="2" xfId="0" applyNumberFormat="1" applyFont="1" applyFill="1" applyBorder="1" applyAlignment="1">
      <alignment horizontal="center" vertical="center" wrapText="1"/>
    </xf>
    <xf numFmtId="176" fontId="8" fillId="5" borderId="0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6" fontId="10" fillId="2" borderId="5" xfId="0" applyNumberFormat="1" applyFont="1" applyFill="1" applyBorder="1" applyAlignment="1">
      <alignment horizontal="center" vertical="center" wrapText="1"/>
    </xf>
    <xf numFmtId="176" fontId="10" fillId="2" borderId="6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left" vertical="center" wrapText="1"/>
    </xf>
    <xf numFmtId="176" fontId="9" fillId="2" borderId="5" xfId="0" applyNumberFormat="1" applyFont="1" applyFill="1" applyBorder="1" applyAlignment="1">
      <alignment horizontal="left" vertical="center" wrapText="1"/>
    </xf>
    <xf numFmtId="176" fontId="9" fillId="2" borderId="6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6" fillId="3" borderId="0" xfId="0" applyNumberFormat="1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11" fillId="3" borderId="8" xfId="0" applyNumberFormat="1" applyFont="1" applyFill="1" applyBorder="1" applyAlignment="1">
      <alignment horizontal="center" vertical="center" wrapText="1"/>
    </xf>
    <xf numFmtId="176" fontId="11" fillId="3" borderId="9" xfId="0" applyNumberFormat="1" applyFont="1" applyFill="1" applyBorder="1" applyAlignment="1">
      <alignment horizontal="center" vertical="center" wrapText="1"/>
    </xf>
    <xf numFmtId="176" fontId="11" fillId="3" borderId="1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6FF9F"/>
      <color rgb="FF253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53879</xdr:colOff>
      <xdr:row>0</xdr:row>
      <xdr:rowOff>80224</xdr:rowOff>
    </xdr:from>
    <xdr:to>
      <xdr:col>2</xdr:col>
      <xdr:colOff>838970</xdr:colOff>
      <xdr:row>0</xdr:row>
      <xdr:rowOff>715503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2D46F7D-3B02-40A9-A811-D5B901B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9" y="80224"/>
          <a:ext cx="4487333" cy="635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70" zoomScaleNormal="70" workbookViewId="0">
      <selection activeCell="C33" sqref="C33"/>
    </sheetView>
  </sheetViews>
  <sheetFormatPr defaultColWidth="8.8203125" defaultRowHeight="14.35"/>
  <cols>
    <col min="1" max="1" width="9.46875" customWidth="1"/>
    <col min="2" max="2" width="41.9375" customWidth="1"/>
    <col min="3" max="3" width="60.05859375" customWidth="1"/>
    <col min="4" max="4" width="11.8203125" customWidth="1"/>
    <col min="5" max="5" width="18.46875" customWidth="1"/>
    <col min="6" max="6" width="30.87890625" customWidth="1"/>
    <col min="7" max="7" width="46.5859375" customWidth="1"/>
    <col min="8" max="8" width="3" customWidth="1"/>
    <col min="9" max="10" width="20" customWidth="1"/>
  </cols>
  <sheetData>
    <row r="1" spans="1:8" ht="67.099999999999994" customHeight="1">
      <c r="A1" s="30" t="s">
        <v>19</v>
      </c>
      <c r="B1" s="31"/>
      <c r="C1" s="31"/>
      <c r="D1" s="31"/>
      <c r="E1" s="31"/>
      <c r="F1" s="31"/>
      <c r="G1" s="32"/>
    </row>
    <row r="2" spans="1:8" ht="24" customHeight="1">
      <c r="A2" s="12" t="s">
        <v>15</v>
      </c>
      <c r="B2" s="42" t="s">
        <v>30</v>
      </c>
      <c r="C2" s="43"/>
      <c r="D2" s="13" t="s">
        <v>16</v>
      </c>
      <c r="E2" s="33" t="s">
        <v>22</v>
      </c>
      <c r="F2" s="34"/>
      <c r="G2" s="35"/>
    </row>
    <row r="3" spans="1:8" ht="25.1" customHeight="1">
      <c r="A3" s="14" t="s">
        <v>17</v>
      </c>
      <c r="B3" s="13" t="s">
        <v>18</v>
      </c>
      <c r="C3" s="36" t="s">
        <v>20</v>
      </c>
      <c r="D3" s="37"/>
      <c r="E3" s="37"/>
      <c r="F3" s="37"/>
      <c r="G3" s="38"/>
    </row>
    <row r="4" spans="1:8" ht="25.1" customHeight="1">
      <c r="A4" s="36" t="s">
        <v>31</v>
      </c>
      <c r="B4" s="37"/>
      <c r="C4" s="37"/>
      <c r="D4" s="37"/>
      <c r="E4" s="37"/>
      <c r="F4" s="37"/>
      <c r="G4" s="38"/>
    </row>
    <row r="5" spans="1:8" ht="20" customHeight="1">
      <c r="A5" s="39"/>
      <c r="B5" s="40"/>
      <c r="C5" s="40"/>
      <c r="D5" s="40"/>
      <c r="E5" s="40"/>
      <c r="F5" s="40"/>
      <c r="G5" s="41"/>
    </row>
    <row r="6" spans="1:8" ht="50" customHeight="1">
      <c r="A6" s="44" t="s">
        <v>13</v>
      </c>
      <c r="B6" s="45"/>
      <c r="C6" s="45"/>
      <c r="D6" s="45"/>
      <c r="E6" s="45"/>
      <c r="F6" s="45"/>
      <c r="G6" s="46"/>
    </row>
    <row r="7" spans="1:8" ht="20">
      <c r="A7" s="15" t="s">
        <v>9</v>
      </c>
      <c r="B7" s="15" t="s">
        <v>3</v>
      </c>
      <c r="C7" s="15" t="s">
        <v>5</v>
      </c>
      <c r="D7" s="15" t="s">
        <v>4</v>
      </c>
      <c r="E7" s="15" t="s">
        <v>0</v>
      </c>
      <c r="F7" s="15" t="s">
        <v>1</v>
      </c>
      <c r="G7" s="15" t="s">
        <v>2</v>
      </c>
      <c r="H7" s="16"/>
    </row>
    <row r="8" spans="1:8" ht="96">
      <c r="A8" s="1">
        <v>1</v>
      </c>
      <c r="B8" s="2" t="s">
        <v>51</v>
      </c>
      <c r="C8" s="3" t="s">
        <v>33</v>
      </c>
      <c r="D8" s="4">
        <v>2</v>
      </c>
      <c r="E8" s="5">
        <v>6000</v>
      </c>
      <c r="F8" s="21">
        <f t="shared" ref="F8:F11" si="0">D8*E8</f>
        <v>12000</v>
      </c>
      <c r="G8" s="5" t="s">
        <v>42</v>
      </c>
      <c r="H8" s="17"/>
    </row>
    <row r="9" spans="1:8" ht="96">
      <c r="A9" s="6">
        <v>2</v>
      </c>
      <c r="B9" s="2" t="s">
        <v>32</v>
      </c>
      <c r="C9" s="3" t="s">
        <v>49</v>
      </c>
      <c r="D9" s="4">
        <v>119</v>
      </c>
      <c r="E9" s="5">
        <v>2900</v>
      </c>
      <c r="F9" s="21">
        <f t="shared" si="0"/>
        <v>345100</v>
      </c>
      <c r="G9" s="5" t="s">
        <v>42</v>
      </c>
      <c r="H9" s="17"/>
    </row>
    <row r="10" spans="1:8" ht="16">
      <c r="A10" s="6">
        <v>3</v>
      </c>
      <c r="B10" s="2" t="s">
        <v>34</v>
      </c>
      <c r="C10" s="3" t="s">
        <v>36</v>
      </c>
      <c r="D10" s="4">
        <v>30</v>
      </c>
      <c r="E10" s="5">
        <v>430</v>
      </c>
      <c r="F10" s="21">
        <f t="shared" si="0"/>
        <v>12900</v>
      </c>
      <c r="G10" s="5" t="s">
        <v>42</v>
      </c>
      <c r="H10" s="17"/>
    </row>
    <row r="11" spans="1:8" ht="16">
      <c r="A11" s="6">
        <v>4</v>
      </c>
      <c r="B11" s="2" t="s">
        <v>35</v>
      </c>
      <c r="C11" s="3" t="s">
        <v>50</v>
      </c>
      <c r="D11" s="4">
        <v>15</v>
      </c>
      <c r="E11" s="5">
        <v>650</v>
      </c>
      <c r="F11" s="21">
        <f t="shared" si="0"/>
        <v>9750</v>
      </c>
      <c r="G11" s="5" t="s">
        <v>42</v>
      </c>
      <c r="H11" s="17"/>
    </row>
    <row r="12" spans="1:8" ht="21.7">
      <c r="A12" s="29" t="s">
        <v>12</v>
      </c>
      <c r="B12" s="29"/>
      <c r="C12" s="29"/>
      <c r="D12" s="29"/>
      <c r="E12" s="29"/>
      <c r="F12" s="18">
        <f>SUM(F8:F11)</f>
        <v>379750</v>
      </c>
      <c r="G12" s="7"/>
    </row>
    <row r="13" spans="1:8" ht="8" customHeight="1">
      <c r="A13" s="8"/>
      <c r="B13" s="9"/>
      <c r="C13" s="9"/>
      <c r="D13" s="9"/>
      <c r="E13" s="9"/>
      <c r="F13" s="10"/>
      <c r="G13" s="10"/>
    </row>
    <row r="14" spans="1:8" ht="50" customHeight="1">
      <c r="A14" s="44" t="s">
        <v>14</v>
      </c>
      <c r="B14" s="45"/>
      <c r="C14" s="45"/>
      <c r="D14" s="45"/>
      <c r="E14" s="45"/>
      <c r="F14" s="45"/>
      <c r="G14" s="46"/>
    </row>
    <row r="15" spans="1:8" ht="20">
      <c r="A15" s="15" t="s">
        <v>9</v>
      </c>
      <c r="B15" s="15" t="s">
        <v>3</v>
      </c>
      <c r="C15" s="15" t="s">
        <v>5</v>
      </c>
      <c r="D15" s="15" t="s">
        <v>4</v>
      </c>
      <c r="E15" s="15" t="s">
        <v>6</v>
      </c>
      <c r="F15" s="15" t="s">
        <v>7</v>
      </c>
      <c r="G15" s="15" t="s">
        <v>8</v>
      </c>
    </row>
    <row r="16" spans="1:8" ht="160">
      <c r="A16" s="6">
        <v>1</v>
      </c>
      <c r="B16" s="2" t="s">
        <v>23</v>
      </c>
      <c r="C16" s="2" t="s">
        <v>25</v>
      </c>
      <c r="D16" s="4">
        <v>1</v>
      </c>
      <c r="E16" s="19">
        <v>55800</v>
      </c>
      <c r="F16" s="5">
        <f>D16*E16</f>
        <v>55800</v>
      </c>
      <c r="G16" s="2"/>
      <c r="H16" s="17"/>
    </row>
    <row r="17" spans="1:8" ht="16">
      <c r="A17" s="6">
        <v>2</v>
      </c>
      <c r="B17" s="2" t="s">
        <v>27</v>
      </c>
      <c r="C17" s="2" t="s">
        <v>26</v>
      </c>
      <c r="D17" s="4">
        <v>90000</v>
      </c>
      <c r="E17" s="20">
        <v>0.4</v>
      </c>
      <c r="F17" s="5">
        <f t="shared" ref="F17:F20" si="1">D17*E17</f>
        <v>36000</v>
      </c>
      <c r="G17" s="19" t="s">
        <v>29</v>
      </c>
      <c r="H17" s="17"/>
    </row>
    <row r="18" spans="1:8" ht="32">
      <c r="A18" s="6">
        <v>3</v>
      </c>
      <c r="B18" s="2" t="s">
        <v>44</v>
      </c>
      <c r="C18" s="2" t="s">
        <v>24</v>
      </c>
      <c r="D18" s="4">
        <v>1</v>
      </c>
      <c r="E18" s="20">
        <v>20000</v>
      </c>
      <c r="F18" s="5">
        <f t="shared" si="1"/>
        <v>20000</v>
      </c>
      <c r="G18" s="19"/>
      <c r="H18" s="17"/>
    </row>
    <row r="19" spans="1:8" ht="16">
      <c r="A19" s="6">
        <v>4</v>
      </c>
      <c r="B19" s="2" t="s">
        <v>43</v>
      </c>
      <c r="C19" s="2" t="s">
        <v>45</v>
      </c>
      <c r="D19" s="4">
        <v>1</v>
      </c>
      <c r="E19" s="20">
        <v>10000</v>
      </c>
      <c r="F19" s="5">
        <f t="shared" si="1"/>
        <v>10000</v>
      </c>
      <c r="G19" s="19"/>
      <c r="H19" s="17"/>
    </row>
    <row r="20" spans="1:8" ht="16">
      <c r="A20" s="6">
        <v>5</v>
      </c>
      <c r="B20" s="2" t="s">
        <v>46</v>
      </c>
      <c r="C20" s="2" t="s">
        <v>47</v>
      </c>
      <c r="D20" s="4">
        <v>1</v>
      </c>
      <c r="E20" s="19">
        <v>20000</v>
      </c>
      <c r="F20" s="22">
        <f t="shared" si="1"/>
        <v>20000</v>
      </c>
      <c r="G20" s="19"/>
      <c r="H20" s="17"/>
    </row>
    <row r="21" spans="1:8" ht="20">
      <c r="A21" s="29" t="s">
        <v>12</v>
      </c>
      <c r="B21" s="29"/>
      <c r="C21" s="29"/>
      <c r="D21" s="29"/>
      <c r="E21" s="29"/>
      <c r="F21" s="18">
        <f>SUM(F16:F20)</f>
        <v>141800</v>
      </c>
      <c r="G21" s="18"/>
      <c r="H21" s="16"/>
    </row>
    <row r="22" spans="1:8" ht="8" customHeight="1">
      <c r="A22" s="8"/>
      <c r="B22" s="9"/>
      <c r="C22" s="9"/>
      <c r="D22" s="9"/>
      <c r="E22" s="9"/>
      <c r="F22" s="10"/>
      <c r="G22" s="10"/>
    </row>
    <row r="23" spans="1:8" ht="50" customHeight="1">
      <c r="A23" s="44" t="s">
        <v>11</v>
      </c>
      <c r="B23" s="45"/>
      <c r="C23" s="45"/>
      <c r="D23" s="45"/>
      <c r="E23" s="45"/>
      <c r="F23" s="45"/>
      <c r="G23" s="46"/>
    </row>
    <row r="24" spans="1:8" ht="20">
      <c r="A24" s="15" t="s">
        <v>9</v>
      </c>
      <c r="B24" s="15" t="s">
        <v>3</v>
      </c>
      <c r="C24" s="15" t="s">
        <v>5</v>
      </c>
      <c r="D24" s="15" t="s">
        <v>4</v>
      </c>
      <c r="E24" s="15" t="s">
        <v>6</v>
      </c>
      <c r="F24" s="15" t="s">
        <v>7</v>
      </c>
      <c r="G24" s="15" t="s">
        <v>8</v>
      </c>
    </row>
    <row r="25" spans="1:8" ht="16">
      <c r="A25" s="6">
        <v>1</v>
      </c>
      <c r="B25" s="2" t="s">
        <v>37</v>
      </c>
      <c r="C25" s="2" t="s">
        <v>38</v>
      </c>
      <c r="D25" s="4">
        <v>1</v>
      </c>
      <c r="E25" s="20">
        <v>10000</v>
      </c>
      <c r="F25" s="5">
        <f t="shared" ref="F25" si="2">D25*E25</f>
        <v>10000</v>
      </c>
      <c r="G25" s="19" t="s">
        <v>28</v>
      </c>
    </row>
    <row r="26" spans="1:8" ht="21.45" customHeight="1">
      <c r="A26" s="6">
        <v>2</v>
      </c>
      <c r="B26" s="2" t="s">
        <v>39</v>
      </c>
      <c r="C26" s="2" t="s">
        <v>40</v>
      </c>
      <c r="D26" s="4">
        <v>5</v>
      </c>
      <c r="E26" s="19">
        <v>2000</v>
      </c>
      <c r="F26" s="5">
        <f>D26*E26</f>
        <v>10000</v>
      </c>
      <c r="G26" s="5" t="s">
        <v>41</v>
      </c>
    </row>
    <row r="27" spans="1:8" ht="21.7">
      <c r="A27" s="29" t="s">
        <v>12</v>
      </c>
      <c r="B27" s="29"/>
      <c r="C27" s="29"/>
      <c r="D27" s="29"/>
      <c r="E27" s="29"/>
      <c r="F27" s="18">
        <f>SUM(F25:F26)</f>
        <v>20000</v>
      </c>
      <c r="G27" s="7"/>
    </row>
    <row r="28" spans="1:8" ht="8" customHeight="1">
      <c r="A28" s="8"/>
      <c r="B28" s="9"/>
      <c r="C28" s="9"/>
      <c r="D28" s="9"/>
      <c r="E28" s="9"/>
      <c r="F28" s="10"/>
      <c r="G28" s="10"/>
    </row>
    <row r="29" spans="1:8" ht="50" customHeight="1">
      <c r="A29" s="47" t="s">
        <v>21</v>
      </c>
      <c r="B29" s="48"/>
      <c r="C29" s="48"/>
      <c r="D29" s="48"/>
      <c r="E29" s="48"/>
      <c r="F29" s="48"/>
      <c r="G29" s="49"/>
    </row>
    <row r="30" spans="1:8" ht="152.69999999999999" customHeight="1">
      <c r="A30" s="27" t="s">
        <v>10</v>
      </c>
      <c r="B30" s="28"/>
      <c r="C30" s="11">
        <f>D30</f>
        <v>541550</v>
      </c>
      <c r="D30" s="23">
        <f>F12+F21+F27</f>
        <v>541550</v>
      </c>
      <c r="E30" s="24"/>
      <c r="F30" s="25" t="s">
        <v>48</v>
      </c>
      <c r="G30" s="26"/>
    </row>
    <row r="31" spans="1:8" ht="24" customHeight="1"/>
    <row r="32" spans="1:8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16">
    <mergeCell ref="D30:E30"/>
    <mergeCell ref="F30:G30"/>
    <mergeCell ref="A30:B30"/>
    <mergeCell ref="A27:E27"/>
    <mergeCell ref="A1:G1"/>
    <mergeCell ref="E2:G2"/>
    <mergeCell ref="A4:G4"/>
    <mergeCell ref="C3:G3"/>
    <mergeCell ref="A5:G5"/>
    <mergeCell ref="B2:C2"/>
    <mergeCell ref="A6:G6"/>
    <mergeCell ref="A14:G14"/>
    <mergeCell ref="A29:G29"/>
    <mergeCell ref="A23:G23"/>
    <mergeCell ref="A12:E12"/>
    <mergeCell ref="A21:E21"/>
  </mergeCells>
  <phoneticPr fontId="2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项目报价-成本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2021-06-16T06:59:31Z</dcterms:created>
  <dcterms:modified xsi:type="dcterms:W3CDTF">2021-12-09T10:06:00Z</dcterms:modified>
</cp:coreProperties>
</file>