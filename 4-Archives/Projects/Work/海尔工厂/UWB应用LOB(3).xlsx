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activeTab="2"/>
  </bookViews>
  <sheets>
    <sheet name="焊接" sheetId="8" r:id="rId1"/>
    <sheet name="水箱预装" sheetId="20" r:id="rId2"/>
    <sheet name="货物车" sheetId="21" r:id="rId3"/>
  </sheets>
  <definedNames>
    <definedName name="_xlnm._FilterDatabase" localSheetId="1" hidden="1">水箱预装!$A$2:$F$28</definedName>
  </definedNames>
  <calcPr calcId="144525"/>
</workbook>
</file>

<file path=xl/sharedStrings.xml><?xml version="1.0" encoding="utf-8"?>
<sst xmlns="http://schemas.openxmlformats.org/spreadsheetml/2006/main" count="156" uniqueCount="128">
  <si>
    <t>焊接线</t>
  </si>
  <si>
    <t>工序</t>
  </si>
  <si>
    <t>工位</t>
  </si>
  <si>
    <t>单机节拍</t>
  </si>
  <si>
    <t>机工位</t>
  </si>
  <si>
    <t>节拍</t>
  </si>
  <si>
    <t>设备型号</t>
  </si>
  <si>
    <t>卷圆</t>
  </si>
  <si>
    <t>E4956EA444F9</t>
  </si>
  <si>
    <t>直缝</t>
  </si>
  <si>
    <t>E4956EA43EA8</t>
  </si>
  <si>
    <t>加热管冲平台</t>
  </si>
  <si>
    <t>E4956EA43B84</t>
  </si>
  <si>
    <t>扩口</t>
  </si>
  <si>
    <t>E4956EA43511</t>
  </si>
  <si>
    <t>水管1</t>
  </si>
  <si>
    <t>E4956EA438B6</t>
  </si>
  <si>
    <t>水管2</t>
  </si>
  <si>
    <t>E4956EA43944</t>
  </si>
  <si>
    <t>加热管座焊接</t>
  </si>
  <si>
    <t>E4956EA43B8E</t>
  </si>
  <si>
    <t>胆口法兰焊接</t>
  </si>
  <si>
    <t>E4956EA43CB4</t>
  </si>
  <si>
    <t>组对</t>
  </si>
  <si>
    <t>E4956EA43D75</t>
  </si>
  <si>
    <t>环缝焊接</t>
  </si>
  <si>
    <t>E4956EA43F81</t>
  </si>
  <si>
    <t>T型口补焊</t>
  </si>
  <si>
    <t>E4956EA4351B</t>
  </si>
  <si>
    <t>挂钩焊接</t>
  </si>
  <si>
    <t>E4956EA43C46</t>
  </si>
  <si>
    <t>试压</t>
  </si>
  <si>
    <t>E4956EA438A7</t>
  </si>
  <si>
    <t>补焊</t>
  </si>
  <si>
    <t>E4956EA437BE</t>
  </si>
  <si>
    <t>打磨</t>
  </si>
  <si>
    <t>E4956EA442C0</t>
  </si>
  <si>
    <t>用人</t>
  </si>
  <si>
    <t>T1</t>
  </si>
  <si>
    <t>T2</t>
  </si>
  <si>
    <t>T3</t>
  </si>
  <si>
    <t>T4</t>
  </si>
  <si>
    <t>T5</t>
  </si>
  <si>
    <t>T6</t>
  </si>
  <si>
    <t>加热管冲</t>
  </si>
  <si>
    <t>加热管座</t>
  </si>
  <si>
    <t>胆口法兰</t>
  </si>
  <si>
    <t>环缝焊</t>
  </si>
  <si>
    <t>T型口焊</t>
  </si>
  <si>
    <t>挂钩焊</t>
  </si>
  <si>
    <t>合计</t>
  </si>
  <si>
    <t>MAX</t>
  </si>
  <si>
    <t>LOB</t>
  </si>
  <si>
    <t>热泵水箱预装</t>
  </si>
  <si>
    <t>节拍/S</t>
  </si>
  <si>
    <t>备注</t>
  </si>
  <si>
    <t>水箱预装</t>
  </si>
  <si>
    <t>衬管安装</t>
  </si>
  <si>
    <t>E4956EA44562</t>
  </si>
  <si>
    <t>丝堵紧固</t>
  </si>
  <si>
    <t>E4956EA438FA</t>
  </si>
  <si>
    <t>法兰安装</t>
  </si>
  <si>
    <t>E4956EA437F8</t>
  </si>
  <si>
    <t>法兰紧固</t>
  </si>
  <si>
    <t>E4956EA43A42</t>
  </si>
  <si>
    <t>电阻测量</t>
  </si>
  <si>
    <t>E4956EA43E0A</t>
  </si>
  <si>
    <t>压差检漏</t>
  </si>
  <si>
    <t>E4956EA43CB5</t>
  </si>
  <si>
    <t xml:space="preserve">E4956EA4412B   </t>
  </si>
  <si>
    <t>泄压</t>
  </si>
  <si>
    <t xml:space="preserve">E4956EA43B95  </t>
  </si>
  <si>
    <t>烘干</t>
  </si>
  <si>
    <t>E4956EA43876</t>
  </si>
  <si>
    <t>微通道涂胶</t>
  </si>
  <si>
    <t xml:space="preserve">E4956EA43452  </t>
  </si>
  <si>
    <t>绕胆</t>
  </si>
  <si>
    <t xml:space="preserve">E4956EA438AA  </t>
  </si>
  <si>
    <t>封头涂胶</t>
  </si>
  <si>
    <t>E4956EA43D1C</t>
  </si>
  <si>
    <t>底盘管安装</t>
  </si>
  <si>
    <t>E4956EA43E4D</t>
  </si>
  <si>
    <t>紧固支架</t>
  </si>
  <si>
    <t>E4956EA442DE</t>
  </si>
  <si>
    <t>钎焊-1</t>
  </si>
  <si>
    <t>1（可以同时3个）</t>
  </si>
  <si>
    <t>E4956EA43517</t>
  </si>
  <si>
    <t>钎焊-2</t>
  </si>
  <si>
    <t>E4956EA43B83</t>
  </si>
  <si>
    <t>氮气检大漏</t>
  </si>
  <si>
    <t>E4956EA433B2</t>
  </si>
  <si>
    <t>氦检</t>
  </si>
  <si>
    <t>E4956EA43FA9</t>
  </si>
  <si>
    <t>挡料圈安装</t>
  </si>
  <si>
    <t>E4956EA43F96</t>
  </si>
  <si>
    <t>上外壳</t>
  </si>
  <si>
    <t>E4956EA4439D</t>
  </si>
  <si>
    <t>套袋子</t>
  </si>
  <si>
    <t>E4956EA43ED0</t>
  </si>
  <si>
    <t>吊胆</t>
  </si>
  <si>
    <t>E4956EA44591</t>
  </si>
  <si>
    <t>调胆</t>
  </si>
  <si>
    <t>E4956EA43710</t>
  </si>
  <si>
    <t>下压盖安装</t>
  </si>
  <si>
    <t>E4956EA43E0B</t>
  </si>
  <si>
    <t>粘贴胶带</t>
  </si>
  <si>
    <t>E4956EA4330A</t>
  </si>
  <si>
    <t>上端盖安装</t>
  </si>
  <si>
    <t>E4956EA442DC</t>
  </si>
  <si>
    <t>提升机</t>
  </si>
  <si>
    <t>绕但</t>
  </si>
  <si>
    <t>移栽</t>
  </si>
  <si>
    <t>氮气检漏</t>
  </si>
  <si>
    <t>氦气检漏</t>
  </si>
  <si>
    <t>自动旋转</t>
  </si>
  <si>
    <t>平均</t>
  </si>
  <si>
    <t>名称</t>
  </si>
  <si>
    <t>编号</t>
  </si>
  <si>
    <t>货物1</t>
  </si>
  <si>
    <t>E4956EA41D1B</t>
  </si>
  <si>
    <t>货物2</t>
  </si>
  <si>
    <t>E4956EA41E9E</t>
  </si>
  <si>
    <t>货物3</t>
  </si>
  <si>
    <t>E4956EA42117</t>
  </si>
  <si>
    <t>车1</t>
  </si>
  <si>
    <t>E4956EA4203D</t>
  </si>
  <si>
    <t>车2</t>
  </si>
  <si>
    <t>E4956EA41D29</t>
  </si>
</sst>
</file>

<file path=xl/styles.xml><?xml version="1.0" encoding="utf-8"?>
<styleSheet xmlns="http://schemas.openxmlformats.org/spreadsheetml/2006/main">
  <numFmts count="8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176" formatCode="0.0"/>
    <numFmt numFmtId="177" formatCode="0_ "/>
    <numFmt numFmtId="178" formatCode="0.0%"/>
    <numFmt numFmtId="179" formatCode="_ \¥* #,##0.00_ ;_ \¥* \-#,##0.00_ ;_ \¥* &quot;-&quot;??_ ;_ @_ "/>
  </numFmts>
  <fonts count="3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4"/>
      <color rgb="FF000000"/>
      <name val="微软雅黑"/>
      <charset val="134"/>
    </font>
    <font>
      <b/>
      <sz val="12"/>
      <color rgb="FF000000"/>
      <name val="微软雅黑"/>
      <charset val="134"/>
    </font>
    <font>
      <b/>
      <sz val="9"/>
      <color rgb="FF000000"/>
      <name val="微软雅黑"/>
      <charset val="134"/>
    </font>
    <font>
      <sz val="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z val="10"/>
      <name val="微软雅黑"/>
      <charset val="134"/>
    </font>
    <font>
      <b/>
      <sz val="14"/>
      <name val="微软雅黑"/>
      <charset val="134"/>
    </font>
    <font>
      <sz val="11"/>
      <color rgb="FF000000"/>
      <name val="宋体"/>
      <charset val="134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2"/>
      <name val="宋体"/>
      <charset val="134"/>
    </font>
    <font>
      <sz val="11"/>
      <color indexed="8"/>
      <name val="宋体"/>
      <charset val="134"/>
    </font>
  </fonts>
  <fills count="4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65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22" fillId="27" borderId="1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11" borderId="6" applyNumberFormat="0" applyFont="0" applyAlignment="0" applyProtection="0">
      <alignment vertical="center"/>
    </xf>
    <xf numFmtId="0" fontId="11" fillId="41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2" fillId="0" borderId="0">
      <alignment vertical="center"/>
    </xf>
    <xf numFmtId="0" fontId="20" fillId="0" borderId="0" applyNumberFormat="0" applyFill="0" applyBorder="0" applyAlignment="0" applyProtection="0">
      <alignment vertical="center"/>
    </xf>
    <xf numFmtId="0" fontId="13" fillId="0" borderId="0"/>
    <xf numFmtId="0" fontId="14" fillId="0" borderId="7" applyNumberFormat="0" applyFill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11" fillId="37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7" fillId="19" borderId="9" applyNumberFormat="0" applyAlignment="0" applyProtection="0">
      <alignment vertical="center"/>
    </xf>
    <xf numFmtId="0" fontId="27" fillId="19" borderId="11" applyNumberFormat="0" applyAlignment="0" applyProtection="0">
      <alignment vertical="center"/>
    </xf>
    <xf numFmtId="0" fontId="26" fillId="34" borderId="12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3" fillId="0" borderId="0">
      <alignment vertical="center"/>
    </xf>
    <xf numFmtId="0" fontId="11" fillId="24" borderId="0" applyNumberFormat="0" applyBorder="0" applyAlignment="0" applyProtection="0">
      <alignment vertical="center"/>
    </xf>
    <xf numFmtId="0" fontId="31" fillId="0" borderId="0"/>
    <xf numFmtId="0" fontId="12" fillId="14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1" fillId="0" borderId="0"/>
    <xf numFmtId="0" fontId="12" fillId="28" borderId="0" applyNumberFormat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13" fillId="0" borderId="0"/>
    <xf numFmtId="0" fontId="11" fillId="22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2" fillId="40" borderId="0" applyNumberFormat="0" applyBorder="0" applyAlignment="0" applyProtection="0">
      <alignment vertical="center"/>
    </xf>
    <xf numFmtId="0" fontId="13" fillId="0" borderId="0"/>
    <xf numFmtId="0" fontId="11" fillId="17" borderId="0" applyNumberFormat="0" applyBorder="0" applyAlignment="0" applyProtection="0">
      <alignment vertical="center"/>
    </xf>
    <xf numFmtId="0" fontId="13" fillId="0" borderId="0"/>
    <xf numFmtId="0" fontId="12" fillId="15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31" fillId="0" borderId="0"/>
    <xf numFmtId="0" fontId="13" fillId="0" borderId="0"/>
    <xf numFmtId="0" fontId="12" fillId="38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/>
    <xf numFmtId="179" fontId="31" fillId="0" borderId="0" applyFont="0" applyFill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2" borderId="0" xfId="63" applyFill="1"/>
    <xf numFmtId="0" fontId="1" fillId="0" borderId="0" xfId="63"/>
    <xf numFmtId="0" fontId="2" fillId="0" borderId="1" xfId="63" applyFont="1" applyFill="1" applyBorder="1" applyAlignment="1">
      <alignment horizontal="center" vertical="center"/>
    </xf>
    <xf numFmtId="0" fontId="2" fillId="0" borderId="0" xfId="63" applyFont="1" applyFill="1" applyBorder="1" applyAlignment="1">
      <alignment horizontal="center" vertical="center"/>
    </xf>
    <xf numFmtId="0" fontId="3" fillId="3" borderId="0" xfId="63" applyFont="1" applyFill="1" applyBorder="1"/>
    <xf numFmtId="0" fontId="3" fillId="3" borderId="2" xfId="63" applyFont="1" applyFill="1" applyBorder="1" applyAlignment="1">
      <alignment horizontal="center" vertical="center"/>
    </xf>
    <xf numFmtId="0" fontId="4" fillId="0" borderId="3" xfId="63" applyFont="1" applyFill="1" applyBorder="1" applyAlignment="1">
      <alignment horizontal="center" vertical="center"/>
    </xf>
    <xf numFmtId="0" fontId="4" fillId="0" borderId="4" xfId="63" applyFont="1" applyFill="1" applyBorder="1" applyAlignment="1">
      <alignment horizontal="center" vertical="center"/>
    </xf>
    <xf numFmtId="0" fontId="5" fillId="2" borderId="4" xfId="58" applyFont="1" applyFill="1" applyBorder="1" applyAlignment="1">
      <alignment horizontal="center" vertical="center" wrapText="1"/>
    </xf>
    <xf numFmtId="177" fontId="5" fillId="2" borderId="4" xfId="58" applyNumberFormat="1" applyFont="1" applyFill="1" applyBorder="1" applyAlignment="1">
      <alignment horizontal="center" vertical="center" wrapText="1"/>
    </xf>
    <xf numFmtId="0" fontId="6" fillId="4" borderId="4" xfId="63" applyFont="1" applyFill="1" applyBorder="1" applyAlignment="1">
      <alignment horizontal="center" vertical="center"/>
    </xf>
    <xf numFmtId="0" fontId="1" fillId="0" borderId="4" xfId="63" applyBorder="1"/>
    <xf numFmtId="0" fontId="4" fillId="0" borderId="2" xfId="63" applyFont="1" applyFill="1" applyBorder="1" applyAlignment="1">
      <alignment horizontal="center" vertical="center"/>
    </xf>
    <xf numFmtId="0" fontId="5" fillId="0" borderId="4" xfId="58" applyFont="1" applyBorder="1" applyAlignment="1">
      <alignment horizontal="center" vertical="center" wrapText="1"/>
    </xf>
    <xf numFmtId="177" fontId="7" fillId="0" borderId="4" xfId="58" applyNumberFormat="1" applyFont="1" applyBorder="1" applyAlignment="1">
      <alignment horizontal="center" vertical="center" wrapText="1"/>
    </xf>
    <xf numFmtId="0" fontId="6" fillId="2" borderId="4" xfId="63" applyFont="1" applyFill="1" applyBorder="1" applyAlignment="1">
      <alignment horizontal="center" vertical="center"/>
    </xf>
    <xf numFmtId="0" fontId="4" fillId="0" borderId="5" xfId="63" applyFont="1" applyFill="1" applyBorder="1" applyAlignment="1">
      <alignment horizontal="center" vertical="center"/>
    </xf>
    <xf numFmtId="0" fontId="6" fillId="0" borderId="4" xfId="63" applyFont="1" applyFill="1" applyBorder="1" applyAlignment="1">
      <alignment horizontal="center" vertical="center"/>
    </xf>
    <xf numFmtId="1" fontId="6" fillId="2" borderId="4" xfId="63" applyNumberFormat="1" applyFont="1" applyFill="1" applyBorder="1" applyAlignment="1">
      <alignment horizontal="center" vertical="center"/>
    </xf>
    <xf numFmtId="9" fontId="6" fillId="2" borderId="4" xfId="11" applyFont="1" applyFill="1" applyBorder="1" applyAlignment="1">
      <alignment horizontal="center" vertical="center"/>
    </xf>
    <xf numFmtId="0" fontId="4" fillId="0" borderId="0" xfId="63" applyFont="1" applyFill="1" applyBorder="1" applyAlignment="1">
      <alignment horizontal="center" vertical="center"/>
    </xf>
    <xf numFmtId="0" fontId="1" fillId="0" borderId="0" xfId="63" applyBorder="1" applyAlignment="1"/>
    <xf numFmtId="0" fontId="1" fillId="0" borderId="4" xfId="63" applyBorder="1" applyAlignment="1">
      <alignment horizontal="center"/>
    </xf>
    <xf numFmtId="0" fontId="1" fillId="2" borderId="4" xfId="63" applyFill="1" applyBorder="1" applyAlignment="1">
      <alignment horizontal="center"/>
    </xf>
    <xf numFmtId="0" fontId="1" fillId="5" borderId="4" xfId="63" applyFill="1" applyBorder="1" applyAlignment="1">
      <alignment horizontal="center"/>
    </xf>
    <xf numFmtId="176" fontId="1" fillId="2" borderId="4" xfId="63" applyNumberFormat="1" applyFill="1" applyBorder="1" applyAlignment="1">
      <alignment horizontal="center"/>
    </xf>
    <xf numFmtId="176" fontId="1" fillId="0" borderId="0" xfId="63" applyNumberFormat="1"/>
    <xf numFmtId="0" fontId="8" fillId="0" borderId="0" xfId="61" applyFont="1">
      <alignment vertical="center"/>
    </xf>
    <xf numFmtId="0" fontId="9" fillId="0" borderId="0" xfId="61" applyFont="1" applyAlignment="1">
      <alignment horizontal="center" vertical="center"/>
    </xf>
    <xf numFmtId="0" fontId="10" fillId="6" borderId="4" xfId="61" applyFont="1" applyFill="1" applyBorder="1" applyAlignment="1">
      <alignment horizontal="center" vertical="center"/>
    </xf>
    <xf numFmtId="0" fontId="10" fillId="0" borderId="0" xfId="61" applyFont="1" applyFill="1" applyBorder="1" applyAlignment="1"/>
    <xf numFmtId="0" fontId="10" fillId="7" borderId="4" xfId="61" applyFont="1" applyFill="1" applyBorder="1" applyAlignment="1">
      <alignment horizontal="center" vertical="center"/>
    </xf>
    <xf numFmtId="0" fontId="10" fillId="8" borderId="0" xfId="61" applyFont="1" applyFill="1" applyBorder="1" applyAlignment="1">
      <alignment horizontal="center"/>
    </xf>
    <xf numFmtId="0" fontId="9" fillId="0" borderId="0" xfId="61" applyFont="1" applyFill="1" applyBorder="1" applyAlignment="1">
      <alignment horizontal="center" vertical="center"/>
    </xf>
    <xf numFmtId="0" fontId="10" fillId="9" borderId="4" xfId="61" applyFont="1" applyFill="1" applyBorder="1" applyAlignment="1">
      <alignment horizontal="center" vertical="center"/>
    </xf>
    <xf numFmtId="0" fontId="10" fillId="0" borderId="4" xfId="61" applyFont="1" applyFill="1" applyBorder="1" applyAlignment="1">
      <alignment horizontal="center" vertical="center"/>
    </xf>
    <xf numFmtId="0" fontId="10" fillId="10" borderId="4" xfId="61" applyFont="1" applyFill="1" applyBorder="1" applyAlignment="1">
      <alignment horizontal="center" vertical="center"/>
    </xf>
    <xf numFmtId="2" fontId="10" fillId="10" borderId="4" xfId="61" applyNumberFormat="1" applyFont="1" applyFill="1" applyBorder="1" applyAlignment="1">
      <alignment horizontal="center" vertical="center"/>
    </xf>
    <xf numFmtId="176" fontId="10" fillId="10" borderId="4" xfId="61" applyNumberFormat="1" applyFont="1" applyFill="1" applyBorder="1" applyAlignment="1">
      <alignment horizontal="center" vertical="center"/>
    </xf>
    <xf numFmtId="0" fontId="10" fillId="0" borderId="4" xfId="61" applyFont="1" applyFill="1" applyBorder="1" applyAlignment="1">
      <alignment horizontal="right"/>
    </xf>
    <xf numFmtId="176" fontId="10" fillId="0" borderId="4" xfId="61" applyNumberFormat="1" applyFont="1" applyFill="1" applyBorder="1" applyAlignment="1"/>
    <xf numFmtId="178" fontId="8" fillId="0" borderId="4" xfId="11" applyNumberFormat="1" applyFont="1" applyBorder="1">
      <alignment vertical="center"/>
    </xf>
    <xf numFmtId="0" fontId="8" fillId="0" borderId="0" xfId="61" applyFont="1" applyFill="1" applyBorder="1">
      <alignment vertical="center"/>
    </xf>
  </cellXfs>
  <cellStyles count="65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千位分隔 3 2" xfId="17"/>
    <cellStyle name="标题" xfId="18" builtinId="15"/>
    <cellStyle name="常规 3 2 2" xfId="19"/>
    <cellStyle name="解释性文本" xfId="20" builtinId="53"/>
    <cellStyle name="常规 10 69" xfId="21"/>
    <cellStyle name="标题 1" xfId="22" builtinId="16"/>
    <cellStyle name="标题 2" xfId="23" builtinId="17"/>
    <cellStyle name="60% - 强调文字颜色 1" xfId="24" builtinId="32"/>
    <cellStyle name="标题 3" xfId="25" builtinId="18"/>
    <cellStyle name="60% - 强调文字颜色 4" xfId="26" builtinId="44"/>
    <cellStyle name="输出" xfId="27" builtinId="21"/>
    <cellStyle name="计算" xfId="28" builtinId="22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常规 8 2" xfId="37"/>
    <cellStyle name="强调文字颜色 1" xfId="38" builtinId="29"/>
    <cellStyle name="常规 2 2 2" xfId="39"/>
    <cellStyle name="20% - 强调文字颜色 1" xfId="40" builtinId="30"/>
    <cellStyle name="40% - 强调文字颜色 1" xfId="41" builtinId="31"/>
    <cellStyle name="常规 2 2 3" xfId="42"/>
    <cellStyle name="20% - 强调文字颜色 2" xfId="43" builtinId="34"/>
    <cellStyle name="百分比 3 2" xfId="44"/>
    <cellStyle name="40% - 强调文字颜色 2" xfId="45" builtinId="35"/>
    <cellStyle name="强调文字颜色 3" xfId="46" builtinId="37"/>
    <cellStyle name="常规 3 2" xfId="47"/>
    <cellStyle name="强调文字颜色 4" xfId="48" builtinId="41"/>
    <cellStyle name="20% - 强调文字颜色 4" xfId="49" builtinId="42"/>
    <cellStyle name="40% - 强调文字颜色 4" xfId="50" builtinId="43"/>
    <cellStyle name="常规 10 21 2" xfId="51"/>
    <cellStyle name="强调文字颜色 5" xfId="52" builtinId="45"/>
    <cellStyle name="常规 2 2" xfId="53"/>
    <cellStyle name="40% - 强调文字颜色 5" xfId="54" builtinId="47"/>
    <cellStyle name="60% - 强调文字颜色 5" xfId="55" builtinId="48"/>
    <cellStyle name="强调文字颜色 6" xfId="56" builtinId="49"/>
    <cellStyle name="常规 2 3" xfId="57"/>
    <cellStyle name="常规 10" xfId="58"/>
    <cellStyle name="40% - 强调文字颜色 6" xfId="59" builtinId="51"/>
    <cellStyle name="60% - 强调文字颜色 6" xfId="60" builtinId="52"/>
    <cellStyle name="常规 2" xfId="61"/>
    <cellStyle name="常规 3" xfId="62"/>
    <cellStyle name="常规 4" xfId="63"/>
    <cellStyle name="货币 2" xfId="64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焊接!$E$21</c:f>
              <c:strCache>
                <c:ptCount val="1"/>
                <c:pt idx="0">
                  <c:v>节拍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焊接!$B$22:$B$36</c:f>
              <c:strCache>
                <c:ptCount val="15"/>
                <c:pt idx="0">
                  <c:v>卷圆</c:v>
                </c:pt>
                <c:pt idx="1">
                  <c:v>直缝</c:v>
                </c:pt>
                <c:pt idx="2">
                  <c:v>加热管冲</c:v>
                </c:pt>
                <c:pt idx="3">
                  <c:v>扩口</c:v>
                </c:pt>
                <c:pt idx="4">
                  <c:v>水管1</c:v>
                </c:pt>
                <c:pt idx="5">
                  <c:v>水管2</c:v>
                </c:pt>
                <c:pt idx="6">
                  <c:v>加热管座</c:v>
                </c:pt>
                <c:pt idx="7">
                  <c:v>胆口法兰</c:v>
                </c:pt>
                <c:pt idx="8">
                  <c:v>组对</c:v>
                </c:pt>
                <c:pt idx="9">
                  <c:v>环缝焊</c:v>
                </c:pt>
                <c:pt idx="10">
                  <c:v>T型口焊</c:v>
                </c:pt>
                <c:pt idx="11">
                  <c:v>挂钩焊</c:v>
                </c:pt>
                <c:pt idx="12">
                  <c:v>试压</c:v>
                </c:pt>
                <c:pt idx="13">
                  <c:v>补焊</c:v>
                </c:pt>
                <c:pt idx="14">
                  <c:v>打磨</c:v>
                </c:pt>
              </c:strCache>
            </c:strRef>
          </c:cat>
          <c:val>
            <c:numRef>
              <c:f>焊接!$E$22:$E$36</c:f>
              <c:numCache>
                <c:formatCode>0.0</c:formatCode>
                <c:ptCount val="15"/>
                <c:pt idx="0">
                  <c:v>29.2166666666667</c:v>
                </c:pt>
                <c:pt idx="1">
                  <c:v>49.0416666666667</c:v>
                </c:pt>
                <c:pt idx="2">
                  <c:v>31.454</c:v>
                </c:pt>
                <c:pt idx="3">
                  <c:v>28.11</c:v>
                </c:pt>
                <c:pt idx="4">
                  <c:v>44.96</c:v>
                </c:pt>
                <c:pt idx="5">
                  <c:v>42</c:v>
                </c:pt>
                <c:pt idx="6">
                  <c:v>49.435</c:v>
                </c:pt>
                <c:pt idx="7">
                  <c:v>34.87</c:v>
                </c:pt>
                <c:pt idx="8">
                  <c:v>34.7325</c:v>
                </c:pt>
                <c:pt idx="9">
                  <c:v>36.82</c:v>
                </c:pt>
                <c:pt idx="10">
                  <c:v>37.73</c:v>
                </c:pt>
                <c:pt idx="11">
                  <c:v>40.745</c:v>
                </c:pt>
                <c:pt idx="12">
                  <c:v>29</c:v>
                </c:pt>
                <c:pt idx="13">
                  <c:v>39.6033333333333</c:v>
                </c:pt>
                <c:pt idx="14">
                  <c:v>47.8233333333333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3631104"/>
        <c:axId val="163632640"/>
      </c:barChart>
      <c:catAx>
        <c:axId val="163631104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0" spcFirstLastPara="0" vertOverflow="ellipsis" vert="eaVert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63632640"/>
        <c:crosses val="autoZero"/>
        <c:auto val="1"/>
        <c:lblAlgn val="ctr"/>
        <c:lblOffset val="100"/>
        <c:noMultiLvlLbl val="0"/>
      </c:catAx>
      <c:valAx>
        <c:axId val="163632640"/>
        <c:scaling>
          <c:orientation val="minMax"/>
        </c:scaling>
        <c:delete val="0"/>
        <c:axPos val="l"/>
        <c:majorGridlines/>
        <c:numFmt formatCode="0.0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63631104"/>
        <c:crosses val="autoZero"/>
        <c:crossBetween val="between"/>
      </c:valAx>
      <c:spPr>
        <a:solidFill>
          <a:schemeClr val="bg1">
            <a:lumMod val="75000"/>
          </a:schemeClr>
        </a:solidFill>
      </c:spPr>
    </c:plotArea>
    <c:plotVisOnly val="1"/>
    <c:dispBlanksAs val="gap"/>
    <c:showDLblsOverMax val="0"/>
  </c:chart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1445490804429"/>
          <c:y val="0.0136050423441254"/>
          <c:w val="0.74787975482854"/>
          <c:h val="0.71877842148765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水箱预装!$D$2</c:f>
              <c:strCache>
                <c:ptCount val="1"/>
                <c:pt idx="0">
                  <c:v>节拍/S</c:v>
                </c:pt>
              </c:strCache>
            </c:strRef>
          </c:tx>
          <c:spPr>
            <a:solidFill>
              <a:srgbClr val="0070C0"/>
            </a:solidFill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latin typeface="微软雅黑" panose="020B0503020204020204" pitchFamily="34" charset="-122"/>
                    <a:ea typeface="微软雅黑" panose="020B0503020204020204" pitchFamily="34" charset="-122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/>
              </c:ext>
            </c:extLst>
          </c:dLbls>
          <c:cat>
            <c:strRef>
              <c:f>水箱预装!$C$3:$C$28</c:f>
              <c:strCache>
                <c:ptCount val="26"/>
                <c:pt idx="0">
                  <c:v>衬管安装</c:v>
                </c:pt>
                <c:pt idx="1">
                  <c:v>丝堵紧固</c:v>
                </c:pt>
                <c:pt idx="2">
                  <c:v>法兰安装</c:v>
                </c:pt>
                <c:pt idx="3">
                  <c:v>法兰紧固</c:v>
                </c:pt>
                <c:pt idx="4">
                  <c:v>电阻测量</c:v>
                </c:pt>
                <c:pt idx="5">
                  <c:v>压差检漏</c:v>
                </c:pt>
                <c:pt idx="6">
                  <c:v>试压</c:v>
                </c:pt>
                <c:pt idx="7">
                  <c:v>泄压</c:v>
                </c:pt>
                <c:pt idx="8">
                  <c:v>烘干</c:v>
                </c:pt>
                <c:pt idx="9">
                  <c:v>微通道涂胶</c:v>
                </c:pt>
                <c:pt idx="10">
                  <c:v>绕胆</c:v>
                </c:pt>
                <c:pt idx="11">
                  <c:v>封头涂胶</c:v>
                </c:pt>
                <c:pt idx="12">
                  <c:v>底盘管安装</c:v>
                </c:pt>
                <c:pt idx="13">
                  <c:v>紧固支架</c:v>
                </c:pt>
                <c:pt idx="14">
                  <c:v>钎焊-1</c:v>
                </c:pt>
                <c:pt idx="15">
                  <c:v>钎焊-2</c:v>
                </c:pt>
                <c:pt idx="16">
                  <c:v>氮气检大漏</c:v>
                </c:pt>
                <c:pt idx="17">
                  <c:v>氦检</c:v>
                </c:pt>
                <c:pt idx="18">
                  <c:v>挡料圈安装</c:v>
                </c:pt>
                <c:pt idx="19">
                  <c:v>上外壳</c:v>
                </c:pt>
                <c:pt idx="20">
                  <c:v>套袋子</c:v>
                </c:pt>
                <c:pt idx="21">
                  <c:v>吊胆</c:v>
                </c:pt>
                <c:pt idx="22">
                  <c:v>调胆</c:v>
                </c:pt>
                <c:pt idx="23">
                  <c:v>下压盖安装</c:v>
                </c:pt>
                <c:pt idx="24">
                  <c:v>粘贴胶带</c:v>
                </c:pt>
                <c:pt idx="25">
                  <c:v>上端盖安装</c:v>
                </c:pt>
              </c:strCache>
            </c:strRef>
          </c:cat>
          <c:val>
            <c:numRef>
              <c:f>水箱预装!$D$3:$D$28</c:f>
              <c:numCache>
                <c:formatCode>0_ </c:formatCode>
                <c:ptCount val="26"/>
                <c:pt idx="0">
                  <c:v>33.204</c:v>
                </c:pt>
                <c:pt idx="1">
                  <c:v>19.764</c:v>
                </c:pt>
                <c:pt idx="2">
                  <c:v>26.664</c:v>
                </c:pt>
                <c:pt idx="3">
                  <c:v>24.46</c:v>
                </c:pt>
                <c:pt idx="4">
                  <c:v>16.4582</c:v>
                </c:pt>
                <c:pt idx="5">
                  <c:v>22.791</c:v>
                </c:pt>
                <c:pt idx="6">
                  <c:v>21.083</c:v>
                </c:pt>
                <c:pt idx="7">
                  <c:v>17.822</c:v>
                </c:pt>
                <c:pt idx="8">
                  <c:v>31.342</c:v>
                </c:pt>
                <c:pt idx="9">
                  <c:v>18.3955</c:v>
                </c:pt>
                <c:pt idx="10">
                  <c:v>31.2285</c:v>
                </c:pt>
                <c:pt idx="11">
                  <c:v>26.568</c:v>
                </c:pt>
                <c:pt idx="12">
                  <c:v>25.996</c:v>
                </c:pt>
                <c:pt idx="13">
                  <c:v>17.998</c:v>
                </c:pt>
                <c:pt idx="14">
                  <c:v>15.936</c:v>
                </c:pt>
                <c:pt idx="15">
                  <c:v>26.448</c:v>
                </c:pt>
                <c:pt idx="16">
                  <c:v>24.398</c:v>
                </c:pt>
                <c:pt idx="17">
                  <c:v>25.984</c:v>
                </c:pt>
                <c:pt idx="18">
                  <c:v>28.66</c:v>
                </c:pt>
                <c:pt idx="19">
                  <c:v>13.544</c:v>
                </c:pt>
                <c:pt idx="20">
                  <c:v>13.214</c:v>
                </c:pt>
                <c:pt idx="21">
                  <c:v>25.149</c:v>
                </c:pt>
                <c:pt idx="22">
                  <c:v>26.038</c:v>
                </c:pt>
                <c:pt idx="23">
                  <c:v>24.838</c:v>
                </c:pt>
                <c:pt idx="24">
                  <c:v>8.07</c:v>
                </c:pt>
                <c:pt idx="25">
                  <c:v>24.88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8809472"/>
        <c:axId val="198811008"/>
      </c:barChart>
      <c:catAx>
        <c:axId val="198809472"/>
        <c:scaling>
          <c:orientation val="minMax"/>
        </c:scaling>
        <c:delete val="0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98811008"/>
        <c:crosses val="autoZero"/>
        <c:auto val="1"/>
        <c:lblAlgn val="ctr"/>
        <c:lblOffset val="100"/>
        <c:noMultiLvlLbl val="0"/>
      </c:catAx>
      <c:valAx>
        <c:axId val="198811008"/>
        <c:scaling>
          <c:orientation val="minMax"/>
          <c:max val="50"/>
        </c:scaling>
        <c:delete val="0"/>
        <c:axPos val="l"/>
        <c:majorGridlines/>
        <c:numFmt formatCode="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100" b="1" i="0" u="none" strike="noStrike" kern="1200" baseline="0">
                <a:solidFill>
                  <a:schemeClr val="tx1"/>
                </a:solidFill>
                <a:latin typeface="微软雅黑" panose="020B0503020204020204" pitchFamily="34" charset="-122"/>
                <a:ea typeface="微软雅黑" panose="020B0503020204020204" pitchFamily="34" charset="-122"/>
                <a:cs typeface="+mn-cs"/>
              </a:defRPr>
            </a:pPr>
          </a:p>
        </c:txPr>
        <c:crossAx val="198809472"/>
        <c:crosses val="autoZero"/>
        <c:crossBetween val="between"/>
      </c:valAx>
      <c:spPr>
        <a:solidFill>
          <a:schemeClr val="bg1">
            <a:lumMod val="75000"/>
          </a:schemeClr>
        </a:solidFill>
      </c:spPr>
    </c:plotArea>
    <c:plotVisOnly val="1"/>
    <c:dispBlanksAs val="gap"/>
    <c:showDLblsOverMax val="0"/>
  </c:chart>
  <c:spPr>
    <a:ln w="9525" cap="flat" cmpd="sng" algn="ctr">
      <a:noFill/>
      <a:prstDash val="solid"/>
      <a:round/>
    </a:ln>
  </c:spPr>
  <c:txPr>
    <a:bodyPr/>
    <a:lstStyle/>
    <a:p>
      <a:pPr>
        <a:defRPr lang="zh-CN" sz="1100" b="1" i="0" baseline="0">
          <a:latin typeface="微软雅黑" panose="020B0503020204020204" pitchFamily="34" charset="-122"/>
          <a:ea typeface="微软雅黑" panose="020B0503020204020204" pitchFamily="3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22</xdr:col>
      <xdr:colOff>480060</xdr:colOff>
      <xdr:row>0</xdr:row>
      <xdr:rowOff>0</xdr:rowOff>
    </xdr:from>
    <xdr:ext cx="5402580" cy="3131820"/>
    <xdr:pic>
      <xdr:nvPicPr>
        <xdr:cNvPr id="2" name="图片 2"/>
        <xdr:cNvPicPr>
          <a:picLocks noChangeAspect="1"/>
        </xdr:cNvPicPr>
      </xdr:nvPicPr>
      <xdr:blipFill>
        <a:blip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6268065" y="0"/>
          <a:ext cx="5402580" cy="31318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twoCellAnchor>
    <xdr:from>
      <xdr:col>12</xdr:col>
      <xdr:colOff>243840</xdr:colOff>
      <xdr:row>20</xdr:row>
      <xdr:rowOff>102870</xdr:rowOff>
    </xdr:from>
    <xdr:to>
      <xdr:col>19</xdr:col>
      <xdr:colOff>579120</xdr:colOff>
      <xdr:row>35</xdr:row>
      <xdr:rowOff>160020</xdr:rowOff>
    </xdr:to>
    <xdr:graphicFrame>
      <xdr:nvGraphicFramePr>
        <xdr:cNvPr id="5" name="图表 4"/>
        <xdr:cNvGraphicFramePr/>
      </xdr:nvGraphicFramePr>
      <xdr:xfrm>
        <a:off x="9262745" y="3608070"/>
        <a:ext cx="5073650" cy="32004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144780</xdr:colOff>
      <xdr:row>25</xdr:row>
      <xdr:rowOff>99061</xdr:rowOff>
    </xdr:from>
    <xdr:to>
      <xdr:col>19</xdr:col>
      <xdr:colOff>388620</xdr:colOff>
      <xdr:row>25</xdr:row>
      <xdr:rowOff>99061</xdr:rowOff>
    </xdr:to>
    <xdr:sp>
      <xdr:nvSpPr>
        <xdr:cNvPr id="4" name="Line 30"/>
        <xdr:cNvSpPr>
          <a:spLocks noChangeShapeType="1"/>
        </xdr:cNvSpPr>
      </xdr:nvSpPr>
      <xdr:spPr>
        <a:xfrm>
          <a:off x="9840595" y="4652010"/>
          <a:ext cx="4305300" cy="0"/>
        </a:xfrm>
        <a:prstGeom prst="line">
          <a:avLst/>
        </a:prstGeom>
        <a:noFill/>
        <a:ln w="28575" cap="rnd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382270</xdr:colOff>
      <xdr:row>2</xdr:row>
      <xdr:rowOff>88265</xdr:rowOff>
    </xdr:from>
    <xdr:to>
      <xdr:col>15</xdr:col>
      <xdr:colOff>446946</xdr:colOff>
      <xdr:row>30</xdr:row>
      <xdr:rowOff>110677</xdr:rowOff>
    </xdr:to>
    <xdr:graphicFrame>
      <xdr:nvGraphicFramePr>
        <xdr:cNvPr id="2" name="图表 1"/>
        <xdr:cNvGraphicFramePr/>
      </xdr:nvGraphicFramePr>
      <xdr:xfrm>
        <a:off x="6529070" y="705485"/>
        <a:ext cx="8776335" cy="53962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317435</xdr:colOff>
      <xdr:row>11</xdr:row>
      <xdr:rowOff>95610</xdr:rowOff>
    </xdr:from>
    <xdr:to>
      <xdr:col>14</xdr:col>
      <xdr:colOff>170971</xdr:colOff>
      <xdr:row>11</xdr:row>
      <xdr:rowOff>126784</xdr:rowOff>
    </xdr:to>
    <xdr:sp>
      <xdr:nvSpPr>
        <xdr:cNvPr id="3" name="Line 30"/>
        <xdr:cNvSpPr>
          <a:spLocks noChangeShapeType="1"/>
        </xdr:cNvSpPr>
      </xdr:nvSpPr>
      <xdr:spPr>
        <a:xfrm>
          <a:off x="7403465" y="2647950"/>
          <a:ext cx="6686550" cy="31115"/>
        </a:xfrm>
        <a:prstGeom prst="line">
          <a:avLst/>
        </a:prstGeom>
        <a:noFill/>
        <a:ln w="28575" cap="rnd">
          <a:solidFill>
            <a:srgbClr xmlns:mc="http://schemas.openxmlformats.org/markup-compatibility/2006" xmlns:a14="http://schemas.microsoft.com/office/drawing/2010/main" val="FF0000" mc:Ignorable="a14" a14:legacySpreadsheetColorIndex="10"/>
          </a:solidFill>
          <a:prstDash val="sysDot"/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399572</xdr:colOff>
      <xdr:row>6</xdr:row>
      <xdr:rowOff>61472</xdr:rowOff>
    </xdr:from>
    <xdr:to>
      <xdr:col>10</xdr:col>
      <xdr:colOff>935483</xdr:colOff>
      <xdr:row>9</xdr:row>
      <xdr:rowOff>141980</xdr:rowOff>
    </xdr:to>
    <xdr:sp>
      <xdr:nvSpPr>
        <xdr:cNvPr id="4" name="AutoShape 31"/>
        <xdr:cNvSpPr>
          <a:spLocks noChangeArrowheads="1"/>
        </xdr:cNvSpPr>
      </xdr:nvSpPr>
      <xdr:spPr>
        <a:xfrm>
          <a:off x="9365615" y="1562100"/>
          <a:ext cx="1475740" cy="690245"/>
        </a:xfrm>
        <a:prstGeom prst="cloudCallout">
          <a:avLst>
            <a:gd name="adj1" fmla="val -74493"/>
            <a:gd name="adj2" fmla="val 113141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</a:ln>
      </xdr:spPr>
      <xdr:txBody>
        <a:bodyPr vertOverflow="clip" wrap="square" lIns="36576" tIns="27432" rIns="0" bIns="0" anchor="t" upright="1"/>
        <a:lstStyle/>
        <a:p>
          <a:pPr algn="l" rtl="0">
            <a:defRPr sz="1000"/>
          </a:pPr>
          <a:endParaRPr lang="en-US" altLang="zh-CN" sz="1200" b="1" i="0" u="none" strike="noStrike" baseline="0">
            <a:solidFill>
              <a:srgbClr val="0000FF"/>
            </a:solidFill>
            <a:latin typeface="PMingLiU"/>
            <a:ea typeface="PMingLiU"/>
          </a:endParaRPr>
        </a:p>
        <a:p>
          <a:pPr algn="l" rtl="0">
            <a:defRPr sz="1000"/>
          </a:pPr>
          <a:r>
            <a:rPr lang="en-US" altLang="zh-CN" sz="1200" b="1" i="0" u="none" strike="noStrike" baseline="0">
              <a:solidFill>
                <a:srgbClr val="0000FF"/>
              </a:solidFill>
              <a:latin typeface="PMingLiU"/>
              <a:ea typeface="PMingLiU"/>
            </a:rPr>
            <a:t>   </a:t>
          </a:r>
          <a:r>
            <a:rPr lang="zh-CN" altLang="en-US" sz="1200" b="1" i="0" u="none" strike="noStrike" baseline="0">
              <a:solidFill>
                <a:srgbClr val="0000FF"/>
              </a:solidFill>
              <a:latin typeface="PMingLiU"/>
              <a:ea typeface="PMingLiU"/>
            </a:rPr>
            <a:t>T/T=</a:t>
          </a:r>
          <a:r>
            <a:rPr lang="en-US" altLang="zh-CN" sz="1200" b="1" i="0" u="none" strike="noStrike" baseline="0">
              <a:solidFill>
                <a:srgbClr val="0000FF"/>
              </a:solidFill>
              <a:latin typeface="PMingLiU"/>
              <a:ea typeface="PMingLiU"/>
            </a:rPr>
            <a:t>24</a:t>
          </a:r>
          <a:r>
            <a:rPr lang="zh-CN" altLang="en-US" sz="1200" b="1" i="0" u="none" strike="noStrike" baseline="0">
              <a:solidFill>
                <a:srgbClr val="0000FF"/>
              </a:solidFill>
              <a:latin typeface="PMingLiU"/>
              <a:ea typeface="PMingLiU"/>
            </a:rPr>
            <a:t>秒</a:t>
          </a:r>
          <a:endParaRPr lang="zh-CN" altLang="en-US" sz="1200" b="1" i="0" u="none" strike="noStrike" baseline="0">
            <a:solidFill>
              <a:srgbClr val="0000FF"/>
            </a:solidFill>
            <a:latin typeface="PMingLiU"/>
            <a:ea typeface="PMingLiU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9"/>
  <sheetViews>
    <sheetView workbookViewId="0">
      <selection activeCell="B5" sqref="B5"/>
    </sheetView>
  </sheetViews>
  <sheetFormatPr defaultColWidth="9" defaultRowHeight="16.5"/>
  <cols>
    <col min="1" max="1" width="8.88333333333333" style="28"/>
    <col min="2" max="2" width="11.775" style="28" customWidth="1"/>
    <col min="3" max="5" width="8.88333333333333" style="28"/>
    <col min="6" max="6" width="17.75" style="28" customWidth="1"/>
    <col min="7" max="16384" width="8.88333333333333" style="28"/>
  </cols>
  <sheetData>
    <row r="1" ht="13.5" spans="1:14">
      <c r="A1" s="29" t="s">
        <v>0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ht="13.5" spans="1:14">
      <c r="A2" s="29"/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</row>
    <row r="3" ht="13.5" spans="1:16">
      <c r="A3" s="30" t="s">
        <v>1</v>
      </c>
      <c r="B3" s="30" t="s">
        <v>2</v>
      </c>
      <c r="C3" s="30" t="s">
        <v>3</v>
      </c>
      <c r="D3" s="30" t="s">
        <v>4</v>
      </c>
      <c r="E3" s="30" t="s">
        <v>5</v>
      </c>
      <c r="F3" s="30" t="s">
        <v>6</v>
      </c>
      <c r="G3" s="31"/>
      <c r="H3" s="31"/>
      <c r="I3" s="31"/>
      <c r="J3" s="31"/>
      <c r="K3" s="31"/>
      <c r="L3" s="31"/>
      <c r="M3" s="31"/>
      <c r="N3" s="31"/>
      <c r="O3" s="31"/>
      <c r="P3" s="31"/>
    </row>
    <row r="4" ht="13.5" spans="1:16">
      <c r="A4" s="32">
        <v>1</v>
      </c>
      <c r="B4" s="30" t="s">
        <v>7</v>
      </c>
      <c r="C4" s="32">
        <v>28</v>
      </c>
      <c r="D4" s="32">
        <v>1</v>
      </c>
      <c r="E4" s="30">
        <v>28</v>
      </c>
      <c r="F4" s="32" t="s">
        <v>8</v>
      </c>
      <c r="G4" s="31"/>
      <c r="H4" s="31"/>
      <c r="I4" s="31"/>
      <c r="J4" s="31"/>
      <c r="K4" s="31"/>
      <c r="L4" s="31"/>
      <c r="M4" s="31"/>
      <c r="N4" s="31"/>
      <c r="O4" s="31"/>
      <c r="P4" s="31"/>
    </row>
    <row r="5" ht="13.5" spans="1:16">
      <c r="A5" s="32">
        <v>2</v>
      </c>
      <c r="B5" s="30" t="s">
        <v>9</v>
      </c>
      <c r="C5" s="32">
        <v>156</v>
      </c>
      <c r="D5" s="32">
        <v>4</v>
      </c>
      <c r="E5" s="32">
        <v>39</v>
      </c>
      <c r="F5" s="32" t="s">
        <v>10</v>
      </c>
      <c r="G5" s="31"/>
      <c r="H5" s="31"/>
      <c r="I5" s="31"/>
      <c r="J5" s="31"/>
      <c r="K5" s="31"/>
      <c r="L5" s="31"/>
      <c r="M5" s="31"/>
      <c r="N5" s="31"/>
      <c r="O5" s="31"/>
      <c r="P5" s="31"/>
    </row>
    <row r="6" ht="13.5" spans="1:16">
      <c r="A6" s="32">
        <v>3</v>
      </c>
      <c r="B6" s="30" t="s">
        <v>11</v>
      </c>
      <c r="C6" s="32">
        <v>29</v>
      </c>
      <c r="D6" s="32">
        <v>1</v>
      </c>
      <c r="E6" s="30">
        <v>29</v>
      </c>
      <c r="F6" s="32" t="s">
        <v>12</v>
      </c>
      <c r="G6" s="31"/>
      <c r="H6" s="31"/>
      <c r="I6" s="31"/>
      <c r="J6" s="31"/>
      <c r="K6" s="31"/>
      <c r="L6" s="31"/>
      <c r="M6" s="31"/>
      <c r="N6" s="31"/>
      <c r="O6" s="31"/>
      <c r="P6" s="31"/>
    </row>
    <row r="7" ht="13.5" spans="1:16">
      <c r="A7" s="32">
        <v>4</v>
      </c>
      <c r="B7" s="30" t="s">
        <v>13</v>
      </c>
      <c r="C7" s="32">
        <v>21</v>
      </c>
      <c r="D7" s="32">
        <v>1</v>
      </c>
      <c r="E7" s="30">
        <v>21</v>
      </c>
      <c r="F7" s="32" t="s">
        <v>14</v>
      </c>
      <c r="G7" s="31"/>
      <c r="H7" s="31"/>
      <c r="I7" s="31"/>
      <c r="J7" s="31"/>
      <c r="K7" s="31"/>
      <c r="L7" s="31"/>
      <c r="M7" s="31"/>
      <c r="N7" s="31"/>
      <c r="O7" s="31"/>
      <c r="P7" s="31"/>
    </row>
    <row r="8" ht="13.5" spans="1:16">
      <c r="A8" s="32">
        <v>5</v>
      </c>
      <c r="B8" s="32" t="s">
        <v>15</v>
      </c>
      <c r="C8" s="32">
        <v>40</v>
      </c>
      <c r="D8" s="32">
        <v>1</v>
      </c>
      <c r="E8" s="32">
        <v>40</v>
      </c>
      <c r="F8" s="32" t="s">
        <v>16</v>
      </c>
      <c r="G8" s="31"/>
      <c r="H8" s="31"/>
      <c r="I8" s="31"/>
      <c r="J8" s="31"/>
      <c r="K8" s="31"/>
      <c r="L8" s="31"/>
      <c r="M8" s="31"/>
      <c r="N8" s="31"/>
      <c r="O8" s="31"/>
      <c r="P8" s="31"/>
    </row>
    <row r="9" ht="13.5" spans="1:16">
      <c r="A9" s="32">
        <v>6</v>
      </c>
      <c r="B9" s="32" t="s">
        <v>17</v>
      </c>
      <c r="C9" s="32">
        <v>42</v>
      </c>
      <c r="D9" s="32">
        <v>1</v>
      </c>
      <c r="E9" s="32">
        <v>42</v>
      </c>
      <c r="F9" s="32" t="s">
        <v>18</v>
      </c>
      <c r="G9" s="31"/>
      <c r="H9" s="31"/>
      <c r="I9" s="31"/>
      <c r="J9" s="31"/>
      <c r="K9" s="31"/>
      <c r="L9" s="31"/>
      <c r="M9" s="31"/>
      <c r="N9" s="31"/>
      <c r="O9" s="31"/>
      <c r="P9" s="31"/>
    </row>
    <row r="10" ht="13.5" spans="1:16">
      <c r="A10" s="32">
        <v>7</v>
      </c>
      <c r="B10" s="32" t="s">
        <v>19</v>
      </c>
      <c r="C10" s="32">
        <v>41</v>
      </c>
      <c r="D10" s="32">
        <v>1</v>
      </c>
      <c r="E10" s="32">
        <v>41</v>
      </c>
      <c r="F10" s="32" t="s">
        <v>20</v>
      </c>
      <c r="G10" s="31"/>
      <c r="H10" s="31"/>
      <c r="I10" s="31"/>
      <c r="J10" s="31"/>
      <c r="K10" s="31"/>
      <c r="L10" s="31"/>
      <c r="M10" s="31"/>
      <c r="N10" s="31"/>
      <c r="O10" s="31"/>
      <c r="P10" s="31"/>
    </row>
    <row r="11" ht="13.5" spans="1:16">
      <c r="A11" s="32">
        <v>8</v>
      </c>
      <c r="B11" s="30" t="s">
        <v>21</v>
      </c>
      <c r="C11" s="32">
        <v>31</v>
      </c>
      <c r="D11" s="32">
        <v>1</v>
      </c>
      <c r="E11" s="30">
        <v>31</v>
      </c>
      <c r="F11" s="32" t="s">
        <v>22</v>
      </c>
      <c r="G11" s="31"/>
      <c r="H11" s="31"/>
      <c r="I11" s="31"/>
      <c r="J11" s="31"/>
      <c r="K11" s="31"/>
      <c r="L11" s="31"/>
      <c r="M11" s="31"/>
      <c r="N11" s="31"/>
      <c r="O11" s="31"/>
      <c r="P11" s="31"/>
    </row>
    <row r="12" ht="13.5" spans="1:16">
      <c r="A12" s="32">
        <v>9</v>
      </c>
      <c r="B12" s="30" t="s">
        <v>23</v>
      </c>
      <c r="C12" s="32">
        <v>38</v>
      </c>
      <c r="D12" s="32">
        <v>1</v>
      </c>
      <c r="E12" s="30">
        <v>38</v>
      </c>
      <c r="F12" s="32" t="s">
        <v>24</v>
      </c>
      <c r="G12" s="31"/>
      <c r="H12" s="31"/>
      <c r="I12" s="31"/>
      <c r="J12" s="31"/>
      <c r="K12" s="31"/>
      <c r="L12" s="31"/>
      <c r="M12" s="31"/>
      <c r="N12" s="31"/>
      <c r="O12" s="31"/>
      <c r="P12" s="31"/>
    </row>
    <row r="13" ht="13.5" spans="1:16">
      <c r="A13" s="32">
        <v>10</v>
      </c>
      <c r="B13" s="30" t="s">
        <v>25</v>
      </c>
      <c r="C13" s="32">
        <v>76</v>
      </c>
      <c r="D13" s="32">
        <v>2</v>
      </c>
      <c r="E13" s="32">
        <v>38</v>
      </c>
      <c r="F13" s="32" t="s">
        <v>26</v>
      </c>
      <c r="G13" s="31"/>
      <c r="H13" s="31"/>
      <c r="I13" s="31"/>
      <c r="J13" s="31"/>
      <c r="K13" s="31"/>
      <c r="L13" s="31"/>
      <c r="M13" s="31"/>
      <c r="N13" s="31"/>
      <c r="O13" s="31"/>
      <c r="P13" s="31"/>
    </row>
    <row r="14" ht="13.5" spans="1:16">
      <c r="A14" s="32">
        <v>11</v>
      </c>
      <c r="B14" s="30" t="s">
        <v>27</v>
      </c>
      <c r="C14" s="32">
        <v>39</v>
      </c>
      <c r="D14" s="32">
        <v>1</v>
      </c>
      <c r="E14" s="32">
        <v>39</v>
      </c>
      <c r="F14" s="32" t="s">
        <v>28</v>
      </c>
      <c r="G14" s="31"/>
      <c r="H14" s="31"/>
      <c r="I14" s="31"/>
      <c r="J14" s="31"/>
      <c r="K14" s="31"/>
      <c r="L14" s="31"/>
      <c r="M14" s="31"/>
      <c r="N14" s="31"/>
      <c r="O14" s="31"/>
      <c r="P14" s="31"/>
    </row>
    <row r="15" ht="13.5" spans="1:16">
      <c r="A15" s="32">
        <v>12</v>
      </c>
      <c r="B15" s="30" t="s">
        <v>29</v>
      </c>
      <c r="C15" s="32">
        <v>43</v>
      </c>
      <c r="D15" s="32">
        <v>1</v>
      </c>
      <c r="E15" s="32">
        <v>43</v>
      </c>
      <c r="F15" s="32" t="s">
        <v>30</v>
      </c>
      <c r="G15" s="31"/>
      <c r="H15" s="31"/>
      <c r="I15" s="31"/>
      <c r="J15" s="31"/>
      <c r="K15" s="31"/>
      <c r="L15" s="31"/>
      <c r="M15" s="31"/>
      <c r="N15" s="31"/>
      <c r="O15" s="31"/>
      <c r="P15" s="31"/>
    </row>
    <row r="16" ht="13.5" spans="1:16">
      <c r="A16" s="32">
        <v>13</v>
      </c>
      <c r="B16" s="30" t="s">
        <v>31</v>
      </c>
      <c r="C16" s="32">
        <v>84</v>
      </c>
      <c r="D16" s="32">
        <v>2</v>
      </c>
      <c r="E16" s="32">
        <v>42</v>
      </c>
      <c r="F16" s="32" t="s">
        <v>32</v>
      </c>
      <c r="G16" s="31"/>
      <c r="H16" s="31"/>
      <c r="I16" s="31"/>
      <c r="J16" s="31"/>
      <c r="K16" s="31"/>
      <c r="L16" s="31"/>
      <c r="M16" s="31"/>
      <c r="N16" s="31"/>
      <c r="O16" s="31"/>
      <c r="P16" s="31"/>
    </row>
    <row r="17" ht="13.5" spans="1:16">
      <c r="A17" s="32">
        <v>14</v>
      </c>
      <c r="B17" s="30" t="s">
        <v>33</v>
      </c>
      <c r="C17" s="32">
        <v>31</v>
      </c>
      <c r="D17" s="32">
        <v>1</v>
      </c>
      <c r="E17" s="30">
        <v>31</v>
      </c>
      <c r="F17" s="32" t="s">
        <v>34</v>
      </c>
      <c r="G17" s="31"/>
      <c r="H17" s="31"/>
      <c r="I17" s="31"/>
      <c r="J17" s="31"/>
      <c r="K17" s="31"/>
      <c r="L17" s="31"/>
      <c r="M17" s="31"/>
      <c r="N17" s="31"/>
      <c r="O17" s="31"/>
      <c r="P17" s="31"/>
    </row>
    <row r="18" ht="13.5" spans="1:16">
      <c r="A18" s="32">
        <v>15</v>
      </c>
      <c r="B18" s="32" t="s">
        <v>35</v>
      </c>
      <c r="C18" s="32">
        <v>34</v>
      </c>
      <c r="D18" s="32">
        <v>1</v>
      </c>
      <c r="E18" s="30">
        <v>34</v>
      </c>
      <c r="F18" s="33" t="s">
        <v>36</v>
      </c>
      <c r="G18" s="31"/>
      <c r="H18" s="31"/>
      <c r="I18" s="31"/>
      <c r="J18" s="31"/>
      <c r="K18" s="31"/>
      <c r="L18" s="31"/>
      <c r="M18" s="31"/>
      <c r="N18" s="31"/>
      <c r="O18" s="31"/>
      <c r="P18" s="31"/>
    </row>
    <row r="19" spans="1:21">
      <c r="A19" s="34" t="s">
        <v>0</v>
      </c>
      <c r="B19" s="34"/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43"/>
      <c r="P19" s="43"/>
      <c r="Q19" s="43"/>
      <c r="R19" s="43"/>
      <c r="S19" s="43"/>
      <c r="T19" s="43"/>
      <c r="U19" s="43"/>
    </row>
    <row r="20" spans="1:21">
      <c r="A20" s="34"/>
      <c r="B20" s="34"/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43"/>
      <c r="P20" s="43"/>
      <c r="Q20" s="43"/>
      <c r="R20" s="43"/>
      <c r="S20" s="43"/>
      <c r="T20" s="43"/>
      <c r="U20" s="43"/>
    </row>
    <row r="21" spans="1:21">
      <c r="A21" s="35" t="s">
        <v>1</v>
      </c>
      <c r="B21" s="35" t="s">
        <v>2</v>
      </c>
      <c r="C21" s="35" t="s">
        <v>3</v>
      </c>
      <c r="D21" s="35" t="s">
        <v>4</v>
      </c>
      <c r="E21" s="35" t="s">
        <v>5</v>
      </c>
      <c r="F21" s="35" t="s">
        <v>37</v>
      </c>
      <c r="G21" s="36" t="s">
        <v>38</v>
      </c>
      <c r="H21" s="36" t="s">
        <v>39</v>
      </c>
      <c r="I21" s="36" t="s">
        <v>40</v>
      </c>
      <c r="J21" s="36" t="s">
        <v>41</v>
      </c>
      <c r="K21" s="36" t="s">
        <v>42</v>
      </c>
      <c r="L21" s="36" t="s">
        <v>43</v>
      </c>
      <c r="M21" s="31"/>
      <c r="N21" s="31"/>
      <c r="O21" s="31"/>
      <c r="P21" s="31"/>
      <c r="Q21" s="43"/>
      <c r="R21" s="43"/>
      <c r="S21" s="43"/>
      <c r="T21" s="43"/>
      <c r="U21" s="43"/>
    </row>
    <row r="22" spans="1:21">
      <c r="A22" s="37">
        <v>1</v>
      </c>
      <c r="B22" s="37" t="s">
        <v>7</v>
      </c>
      <c r="C22" s="38">
        <f>AVERAGE(G22:L22)</f>
        <v>29.2166666666667</v>
      </c>
      <c r="D22" s="37">
        <v>1</v>
      </c>
      <c r="E22" s="39">
        <f>C22</f>
        <v>29.2166666666667</v>
      </c>
      <c r="F22" s="36">
        <v>0</v>
      </c>
      <c r="G22" s="36">
        <v>29.27</v>
      </c>
      <c r="H22" s="36">
        <v>29.12</v>
      </c>
      <c r="I22" s="36">
        <v>29.26</v>
      </c>
      <c r="J22" s="36"/>
      <c r="K22" s="36"/>
      <c r="L22" s="36"/>
      <c r="M22" s="31"/>
      <c r="N22" s="31"/>
      <c r="O22" s="31"/>
      <c r="P22" s="31"/>
      <c r="Q22" s="43"/>
      <c r="R22" s="43"/>
      <c r="S22" s="43"/>
      <c r="T22" s="43"/>
      <c r="U22" s="43"/>
    </row>
    <row r="23" spans="1:21">
      <c r="A23" s="37">
        <v>2</v>
      </c>
      <c r="B23" s="37" t="s">
        <v>9</v>
      </c>
      <c r="C23" s="38">
        <f t="shared" ref="C23:C36" si="0">AVERAGE(G23:L23)</f>
        <v>196.166666666667</v>
      </c>
      <c r="D23" s="37">
        <v>4</v>
      </c>
      <c r="E23" s="39">
        <f>C23/4</f>
        <v>49.0416666666667</v>
      </c>
      <c r="F23" s="36">
        <v>2</v>
      </c>
      <c r="G23" s="36">
        <v>196.34</v>
      </c>
      <c r="H23" s="36">
        <v>195.98</v>
      </c>
      <c r="I23" s="36">
        <v>196.18</v>
      </c>
      <c r="J23" s="36"/>
      <c r="K23" s="36"/>
      <c r="L23" s="36"/>
      <c r="M23" s="31"/>
      <c r="N23" s="31"/>
      <c r="O23" s="31"/>
      <c r="P23" s="31"/>
      <c r="Q23" s="43"/>
      <c r="R23" s="43"/>
      <c r="S23" s="43"/>
      <c r="T23" s="43"/>
      <c r="U23" s="43"/>
    </row>
    <row r="24" spans="1:21">
      <c r="A24" s="37">
        <v>3</v>
      </c>
      <c r="B24" s="37" t="s">
        <v>44</v>
      </c>
      <c r="C24" s="38">
        <f t="shared" si="0"/>
        <v>31.454</v>
      </c>
      <c r="D24" s="37">
        <v>1</v>
      </c>
      <c r="E24" s="39">
        <f t="shared" ref="E24:E36" si="1">C24</f>
        <v>31.454</v>
      </c>
      <c r="F24" s="36">
        <v>1</v>
      </c>
      <c r="G24" s="36">
        <v>32.8</v>
      </c>
      <c r="H24" s="36">
        <v>31.65</v>
      </c>
      <c r="I24" s="36">
        <v>32.32</v>
      </c>
      <c r="J24" s="36">
        <v>30.1</v>
      </c>
      <c r="K24" s="36">
        <v>30.4</v>
      </c>
      <c r="L24" s="36"/>
      <c r="M24" s="31"/>
      <c r="N24" s="31"/>
      <c r="O24" s="31"/>
      <c r="P24" s="31"/>
      <c r="Q24" s="43"/>
      <c r="R24" s="43"/>
      <c r="S24" s="43"/>
      <c r="T24" s="43"/>
      <c r="U24" s="43"/>
    </row>
    <row r="25" spans="1:21">
      <c r="A25" s="37">
        <v>4</v>
      </c>
      <c r="B25" s="37" t="s">
        <v>13</v>
      </c>
      <c r="C25" s="38">
        <f t="shared" si="0"/>
        <v>28.11</v>
      </c>
      <c r="D25" s="37">
        <v>1</v>
      </c>
      <c r="E25" s="39">
        <f t="shared" si="1"/>
        <v>28.11</v>
      </c>
      <c r="F25" s="36">
        <v>0</v>
      </c>
      <c r="G25" s="36">
        <v>28.11</v>
      </c>
      <c r="H25" s="36"/>
      <c r="I25" s="36"/>
      <c r="J25" s="36"/>
      <c r="K25" s="36"/>
      <c r="L25" s="36"/>
      <c r="M25" s="31"/>
      <c r="N25" s="31"/>
      <c r="O25" s="31"/>
      <c r="P25" s="31"/>
      <c r="Q25" s="43"/>
      <c r="R25" s="43"/>
      <c r="S25" s="43"/>
      <c r="T25" s="43"/>
      <c r="U25" s="43"/>
    </row>
    <row r="26" spans="1:21">
      <c r="A26" s="37">
        <v>5</v>
      </c>
      <c r="B26" s="37" t="s">
        <v>15</v>
      </c>
      <c r="C26" s="38">
        <f t="shared" si="0"/>
        <v>44.96</v>
      </c>
      <c r="D26" s="37">
        <v>1</v>
      </c>
      <c r="E26" s="39">
        <f t="shared" si="1"/>
        <v>44.96</v>
      </c>
      <c r="F26" s="36">
        <v>1</v>
      </c>
      <c r="G26" s="36">
        <v>47.53</v>
      </c>
      <c r="H26" s="36">
        <v>43.4</v>
      </c>
      <c r="I26" s="36">
        <v>43.95</v>
      </c>
      <c r="J26" s="36"/>
      <c r="K26" s="36"/>
      <c r="L26" s="36"/>
      <c r="M26" s="31"/>
      <c r="N26" s="31"/>
      <c r="O26" s="31"/>
      <c r="P26" s="31"/>
      <c r="Q26" s="43"/>
      <c r="R26" s="43"/>
      <c r="S26" s="43"/>
      <c r="T26" s="43"/>
      <c r="U26" s="43"/>
    </row>
    <row r="27" spans="1:21">
      <c r="A27" s="37">
        <v>6</v>
      </c>
      <c r="B27" s="37" t="s">
        <v>17</v>
      </c>
      <c r="C27" s="38">
        <v>42</v>
      </c>
      <c r="D27" s="37">
        <v>1</v>
      </c>
      <c r="E27" s="39">
        <f t="shared" si="1"/>
        <v>42</v>
      </c>
      <c r="F27" s="36">
        <v>1</v>
      </c>
      <c r="G27" s="36"/>
      <c r="H27" s="36"/>
      <c r="I27" s="36"/>
      <c r="J27" s="36"/>
      <c r="K27" s="36"/>
      <c r="L27" s="36"/>
      <c r="M27" s="31"/>
      <c r="N27" s="31"/>
      <c r="O27" s="31"/>
      <c r="P27" s="31"/>
      <c r="Q27" s="43"/>
      <c r="R27" s="43"/>
      <c r="S27" s="43"/>
      <c r="T27" s="43"/>
      <c r="U27" s="43"/>
    </row>
    <row r="28" spans="1:21">
      <c r="A28" s="37">
        <v>7</v>
      </c>
      <c r="B28" s="37" t="s">
        <v>45</v>
      </c>
      <c r="C28" s="38">
        <f t="shared" si="0"/>
        <v>49.435</v>
      </c>
      <c r="D28" s="37">
        <v>1</v>
      </c>
      <c r="E28" s="39">
        <f t="shared" si="1"/>
        <v>49.435</v>
      </c>
      <c r="F28" s="36">
        <v>1</v>
      </c>
      <c r="G28" s="36">
        <v>47.02</v>
      </c>
      <c r="H28" s="36">
        <v>45.5</v>
      </c>
      <c r="I28" s="36">
        <v>56.3</v>
      </c>
      <c r="J28" s="36">
        <v>48.92</v>
      </c>
      <c r="K28" s="36"/>
      <c r="L28" s="36"/>
      <c r="M28" s="31"/>
      <c r="N28" s="31"/>
      <c r="O28" s="31"/>
      <c r="P28" s="31"/>
      <c r="Q28" s="43"/>
      <c r="R28" s="43"/>
      <c r="S28" s="43"/>
      <c r="T28" s="43"/>
      <c r="U28" s="43"/>
    </row>
    <row r="29" spans="1:21">
      <c r="A29" s="37">
        <v>8</v>
      </c>
      <c r="B29" s="37" t="s">
        <v>46</v>
      </c>
      <c r="C29" s="38">
        <f t="shared" si="0"/>
        <v>34.87</v>
      </c>
      <c r="D29" s="37">
        <v>1</v>
      </c>
      <c r="E29" s="39">
        <f t="shared" si="1"/>
        <v>34.87</v>
      </c>
      <c r="F29" s="36">
        <v>1</v>
      </c>
      <c r="G29" s="36">
        <v>34.87</v>
      </c>
      <c r="H29" s="36"/>
      <c r="I29" s="36"/>
      <c r="J29" s="36"/>
      <c r="K29" s="36"/>
      <c r="L29" s="36"/>
      <c r="M29" s="31"/>
      <c r="N29" s="31"/>
      <c r="O29" s="31"/>
      <c r="P29" s="31"/>
      <c r="Q29" s="43"/>
      <c r="R29" s="43"/>
      <c r="S29" s="43"/>
      <c r="T29" s="43"/>
      <c r="U29" s="43"/>
    </row>
    <row r="30" spans="1:21">
      <c r="A30" s="37">
        <v>9</v>
      </c>
      <c r="B30" s="37" t="s">
        <v>23</v>
      </c>
      <c r="C30" s="38">
        <f t="shared" si="0"/>
        <v>34.7325</v>
      </c>
      <c r="D30" s="37">
        <v>1</v>
      </c>
      <c r="E30" s="39">
        <f t="shared" si="1"/>
        <v>34.7325</v>
      </c>
      <c r="F30" s="36">
        <v>1</v>
      </c>
      <c r="G30" s="36">
        <v>34.43</v>
      </c>
      <c r="H30" s="36">
        <v>28.7</v>
      </c>
      <c r="I30" s="36">
        <v>37.5</v>
      </c>
      <c r="J30" s="36">
        <v>38.3</v>
      </c>
      <c r="K30" s="36"/>
      <c r="L30" s="36"/>
      <c r="M30" s="31"/>
      <c r="N30" s="31"/>
      <c r="O30" s="31"/>
      <c r="P30" s="31"/>
      <c r="Q30" s="43"/>
      <c r="R30" s="43"/>
      <c r="S30" s="43"/>
      <c r="T30" s="43"/>
      <c r="U30" s="43"/>
    </row>
    <row r="31" spans="1:21">
      <c r="A31" s="37">
        <v>10</v>
      </c>
      <c r="B31" s="37" t="s">
        <v>47</v>
      </c>
      <c r="C31" s="38">
        <f t="shared" si="0"/>
        <v>73.64</v>
      </c>
      <c r="D31" s="37">
        <v>2</v>
      </c>
      <c r="E31" s="39">
        <f>C31/2</f>
        <v>36.82</v>
      </c>
      <c r="F31" s="36">
        <v>1</v>
      </c>
      <c r="G31" s="36">
        <v>76.73</v>
      </c>
      <c r="H31" s="36">
        <v>70.55</v>
      </c>
      <c r="I31" s="36"/>
      <c r="J31" s="36"/>
      <c r="K31" s="36"/>
      <c r="L31" s="36"/>
      <c r="M31" s="31"/>
      <c r="N31" s="31"/>
      <c r="O31" s="31"/>
      <c r="P31" s="31"/>
      <c r="Q31" s="43"/>
      <c r="R31" s="43"/>
      <c r="S31" s="43"/>
      <c r="T31" s="43"/>
      <c r="U31" s="43"/>
    </row>
    <row r="32" spans="1:21">
      <c r="A32" s="37">
        <v>11</v>
      </c>
      <c r="B32" s="37" t="s">
        <v>48</v>
      </c>
      <c r="C32" s="38">
        <f t="shared" si="0"/>
        <v>37.73</v>
      </c>
      <c r="D32" s="37">
        <v>1</v>
      </c>
      <c r="E32" s="39">
        <f t="shared" si="1"/>
        <v>37.73</v>
      </c>
      <c r="F32" s="36">
        <v>1</v>
      </c>
      <c r="G32" s="36">
        <v>37.73</v>
      </c>
      <c r="H32" s="36"/>
      <c r="I32" s="36"/>
      <c r="J32" s="36"/>
      <c r="K32" s="36"/>
      <c r="L32" s="36"/>
      <c r="M32" s="31"/>
      <c r="N32" s="31"/>
      <c r="O32" s="31"/>
      <c r="P32" s="31"/>
      <c r="Q32" s="43"/>
      <c r="R32" s="43"/>
      <c r="S32" s="43"/>
      <c r="T32" s="43"/>
      <c r="U32" s="43"/>
    </row>
    <row r="33" spans="1:21">
      <c r="A33" s="37">
        <v>12</v>
      </c>
      <c r="B33" s="37" t="s">
        <v>49</v>
      </c>
      <c r="C33" s="38">
        <f t="shared" si="0"/>
        <v>40.745</v>
      </c>
      <c r="D33" s="37">
        <v>1</v>
      </c>
      <c r="E33" s="39">
        <f t="shared" si="1"/>
        <v>40.745</v>
      </c>
      <c r="F33" s="36"/>
      <c r="G33" s="36">
        <v>39.53</v>
      </c>
      <c r="H33" s="36">
        <v>41.96</v>
      </c>
      <c r="I33" s="36"/>
      <c r="J33" s="36"/>
      <c r="K33" s="36"/>
      <c r="L33" s="36"/>
      <c r="M33" s="31"/>
      <c r="N33" s="31"/>
      <c r="O33" s="31"/>
      <c r="P33" s="31"/>
      <c r="Q33" s="43"/>
      <c r="R33" s="43"/>
      <c r="S33" s="43"/>
      <c r="T33" s="43"/>
      <c r="U33" s="43"/>
    </row>
    <row r="34" spans="1:21">
      <c r="A34" s="37">
        <v>13</v>
      </c>
      <c r="B34" s="37" t="s">
        <v>31</v>
      </c>
      <c r="C34" s="38">
        <v>29</v>
      </c>
      <c r="D34" s="37">
        <v>2</v>
      </c>
      <c r="E34" s="39">
        <f t="shared" si="1"/>
        <v>29</v>
      </c>
      <c r="F34" s="36">
        <v>2</v>
      </c>
      <c r="G34" s="36">
        <v>27</v>
      </c>
      <c r="H34" s="36"/>
      <c r="I34" s="36"/>
      <c r="J34" s="36"/>
      <c r="K34" s="36"/>
      <c r="L34" s="36"/>
      <c r="M34" s="31"/>
      <c r="N34" s="31"/>
      <c r="O34" s="31"/>
      <c r="P34" s="31"/>
      <c r="Q34" s="43"/>
      <c r="R34" s="43"/>
      <c r="S34" s="43"/>
      <c r="T34" s="43"/>
      <c r="U34" s="43"/>
    </row>
    <row r="35" spans="1:21">
      <c r="A35" s="37">
        <v>14</v>
      </c>
      <c r="B35" s="37" t="s">
        <v>33</v>
      </c>
      <c r="C35" s="38">
        <f t="shared" si="0"/>
        <v>39.6033333333333</v>
      </c>
      <c r="D35" s="37">
        <v>1</v>
      </c>
      <c r="E35" s="39">
        <f t="shared" si="1"/>
        <v>39.6033333333333</v>
      </c>
      <c r="F35" s="36">
        <v>1</v>
      </c>
      <c r="G35" s="36">
        <v>42.25</v>
      </c>
      <c r="H35" s="36">
        <v>38.01</v>
      </c>
      <c r="I35" s="36">
        <v>38.55</v>
      </c>
      <c r="J35" s="36"/>
      <c r="K35" s="36"/>
      <c r="L35" s="36"/>
      <c r="M35" s="31"/>
      <c r="N35" s="31"/>
      <c r="O35" s="31"/>
      <c r="P35" s="31"/>
      <c r="Q35" s="43"/>
      <c r="R35" s="43"/>
      <c r="S35" s="43"/>
      <c r="T35" s="43"/>
      <c r="U35" s="43"/>
    </row>
    <row r="36" spans="1:21">
      <c r="A36" s="37">
        <v>15</v>
      </c>
      <c r="B36" s="37" t="s">
        <v>35</v>
      </c>
      <c r="C36" s="38">
        <f t="shared" si="0"/>
        <v>47.8233333333333</v>
      </c>
      <c r="D36" s="37">
        <v>1</v>
      </c>
      <c r="E36" s="39">
        <f t="shared" si="1"/>
        <v>47.8233333333333</v>
      </c>
      <c r="F36" s="36">
        <v>1</v>
      </c>
      <c r="G36" s="36">
        <v>54.01</v>
      </c>
      <c r="H36" s="36">
        <v>48.9</v>
      </c>
      <c r="I36" s="36">
        <v>40.56</v>
      </c>
      <c r="J36" s="36"/>
      <c r="K36" s="36"/>
      <c r="L36" s="36"/>
      <c r="M36" s="31"/>
      <c r="N36" s="31"/>
      <c r="O36" s="31"/>
      <c r="P36" s="31"/>
      <c r="Q36" s="43"/>
      <c r="R36" s="43"/>
      <c r="S36" s="43"/>
      <c r="T36" s="43"/>
      <c r="U36" s="43"/>
    </row>
    <row r="37" spans="1:21">
      <c r="A37" s="40" t="s">
        <v>50</v>
      </c>
      <c r="B37" s="40"/>
      <c r="C37" s="40"/>
      <c r="D37" s="40"/>
      <c r="E37" s="41">
        <f>SUM(E22:E36)</f>
        <v>575.5415</v>
      </c>
      <c r="F37" s="31"/>
      <c r="G37" s="31"/>
      <c r="H37" s="31"/>
      <c r="I37" s="31"/>
      <c r="J37" s="31"/>
      <c r="K37" s="31"/>
      <c r="L37" s="31"/>
      <c r="M37" s="31"/>
      <c r="N37" s="31"/>
      <c r="O37" s="31"/>
      <c r="P37" s="31"/>
      <c r="Q37" s="43"/>
      <c r="R37" s="43"/>
      <c r="S37" s="43"/>
      <c r="T37" s="43"/>
      <c r="U37" s="43"/>
    </row>
    <row r="38" spans="1:21">
      <c r="A38" s="40" t="s">
        <v>51</v>
      </c>
      <c r="B38" s="40"/>
      <c r="C38" s="40"/>
      <c r="D38" s="40"/>
      <c r="E38" s="41">
        <f>MAX(E22:E36)</f>
        <v>49.435</v>
      </c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43"/>
      <c r="R38" s="43"/>
      <c r="S38" s="43"/>
      <c r="T38" s="43"/>
      <c r="U38" s="43"/>
    </row>
    <row r="39" spans="1:5">
      <c r="A39" s="40" t="s">
        <v>52</v>
      </c>
      <c r="B39" s="40"/>
      <c r="C39" s="40"/>
      <c r="D39" s="40"/>
      <c r="E39" s="42">
        <f>E37/E38/15</f>
        <v>0.776159266376724</v>
      </c>
    </row>
  </sheetData>
  <mergeCells count="6">
    <mergeCell ref="A37:D37"/>
    <mergeCell ref="A38:D38"/>
    <mergeCell ref="A39:D39"/>
    <mergeCell ref="F32:F33"/>
    <mergeCell ref="A1:N2"/>
    <mergeCell ref="A19:N20"/>
  </mergeCells>
  <conditionalFormatting sqref="E4:E18">
    <cfRule type="cellIs" dxfId="0" priority="2" stopIfTrue="1" operator="greaterThan">
      <formula>36</formula>
    </cfRule>
  </conditionalFormatting>
  <conditionalFormatting sqref="E22:E36">
    <cfRule type="cellIs" dxfId="0" priority="1" stopIfTrue="1" operator="greaterThan">
      <formula>36</formula>
    </cfRule>
  </conditionalFormatting>
  <pageMargins left="0.7" right="0.7" top="0.75" bottom="0.75" header="0.3" footer="0.3"/>
  <pageSetup paperSize="9" orientation="portrait" horizontalDpi="300" verticalDpi="300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D105"/>
  <sheetViews>
    <sheetView showGridLines="0" workbookViewId="0">
      <selection activeCell="C3" sqref="C3:C9"/>
    </sheetView>
  </sheetViews>
  <sheetFormatPr defaultColWidth="12.3333333333333" defaultRowHeight="13.5"/>
  <cols>
    <col min="1" max="2" width="12.3333333333333" style="2"/>
    <col min="3" max="3" width="18.3333333333333" style="2" customWidth="1"/>
    <col min="4" max="4" width="12.3333333333333" style="2"/>
    <col min="5" max="5" width="12.3333333333333" style="1"/>
    <col min="6" max="6" width="13" style="2" customWidth="1"/>
    <col min="7" max="10" width="12.3333333333333" style="2"/>
    <col min="11" max="11" width="15.6666666666667" style="2" customWidth="1"/>
    <col min="12" max="16384" width="12.3333333333333" style="2"/>
  </cols>
  <sheetData>
    <row r="1" ht="30.6" customHeight="1" spans="1:6">
      <c r="A1" s="3" t="s">
        <v>53</v>
      </c>
      <c r="B1" s="4"/>
      <c r="C1" s="4"/>
      <c r="D1" s="4"/>
      <c r="E1" s="4"/>
      <c r="F1" s="4"/>
    </row>
    <row r="2" ht="18" spans="1:6">
      <c r="A2" s="5"/>
      <c r="B2" s="5"/>
      <c r="C2" s="6" t="s">
        <v>2</v>
      </c>
      <c r="D2" s="6" t="s">
        <v>54</v>
      </c>
      <c r="E2" s="6" t="s">
        <v>37</v>
      </c>
      <c r="F2" s="6" t="s">
        <v>55</v>
      </c>
    </row>
    <row r="3" s="1" customFormat="1" ht="17.4" customHeight="1" spans="1:28">
      <c r="A3" s="7" t="s">
        <v>56</v>
      </c>
      <c r="B3" s="8">
        <v>1</v>
      </c>
      <c r="C3" s="9" t="s">
        <v>57</v>
      </c>
      <c r="D3" s="10">
        <v>33.204</v>
      </c>
      <c r="E3" s="11">
        <v>1</v>
      </c>
      <c r="F3" s="12" t="s">
        <v>58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="1" customFormat="1" ht="17.4" customHeight="1" spans="1:28">
      <c r="A4" s="13"/>
      <c r="B4" s="8">
        <v>2</v>
      </c>
      <c r="C4" s="14" t="s">
        <v>59</v>
      </c>
      <c r="D4" s="15">
        <v>19.764</v>
      </c>
      <c r="E4" s="11">
        <v>1</v>
      </c>
      <c r="F4" s="12" t="s">
        <v>60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="1" customFormat="1" ht="17.4" customHeight="1" spans="1:28">
      <c r="A5" s="13"/>
      <c r="B5" s="8">
        <v>3</v>
      </c>
      <c r="C5" s="14" t="s">
        <v>61</v>
      </c>
      <c r="D5" s="15">
        <v>26.664</v>
      </c>
      <c r="E5" s="11">
        <v>1</v>
      </c>
      <c r="F5" s="12" t="s">
        <v>62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="1" customFormat="1" ht="17.4" customHeight="1" spans="1:28">
      <c r="A6" s="13"/>
      <c r="B6" s="8">
        <v>4</v>
      </c>
      <c r="C6" s="14" t="s">
        <v>63</v>
      </c>
      <c r="D6" s="15">
        <v>24.46</v>
      </c>
      <c r="E6" s="11">
        <v>1</v>
      </c>
      <c r="F6" s="12" t="s">
        <v>64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</row>
    <row r="7" s="1" customFormat="1" ht="17.4" customHeight="1" spans="1:28">
      <c r="A7" s="13"/>
      <c r="B7" s="8">
        <v>5</v>
      </c>
      <c r="C7" s="14" t="s">
        <v>65</v>
      </c>
      <c r="D7" s="15">
        <v>16.4582</v>
      </c>
      <c r="E7" s="11">
        <v>1</v>
      </c>
      <c r="F7" s="12" t="s">
        <v>66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</row>
    <row r="8" s="1" customFormat="1" ht="17.4" customHeight="1" spans="1:28">
      <c r="A8" s="13"/>
      <c r="B8" s="8">
        <v>6</v>
      </c>
      <c r="C8" s="14" t="s">
        <v>67</v>
      </c>
      <c r="D8" s="15">
        <v>22.791</v>
      </c>
      <c r="E8" s="11">
        <v>1</v>
      </c>
      <c r="F8" s="12" t="s">
        <v>68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</row>
    <row r="9" s="1" customFormat="1" ht="13.2" customHeight="1" spans="1:238">
      <c r="A9" s="13"/>
      <c r="B9" s="8">
        <v>7</v>
      </c>
      <c r="C9" s="14" t="s">
        <v>31</v>
      </c>
      <c r="D9" s="15">
        <v>21.083</v>
      </c>
      <c r="E9" s="11">
        <v>3</v>
      </c>
      <c r="F9" s="12" t="s">
        <v>69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/>
      <c r="CT9" s="2"/>
      <c r="CU9" s="2"/>
      <c r="CV9" s="2"/>
      <c r="CW9" s="2"/>
      <c r="CX9" s="2"/>
      <c r="CY9" s="2"/>
      <c r="CZ9" s="2"/>
      <c r="DA9" s="2"/>
      <c r="DB9" s="2"/>
      <c r="DC9" s="2"/>
      <c r="DD9" s="2"/>
      <c r="DE9" s="2"/>
      <c r="DF9" s="2"/>
      <c r="DG9" s="2"/>
      <c r="DH9" s="2"/>
      <c r="DI9" s="2"/>
      <c r="DJ9" s="2"/>
      <c r="DK9" s="2"/>
      <c r="DL9" s="2"/>
      <c r="DM9" s="2"/>
      <c r="DN9" s="2"/>
      <c r="DO9" s="2"/>
      <c r="DP9" s="2"/>
      <c r="DQ9" s="2"/>
      <c r="DR9" s="2"/>
      <c r="DS9" s="2"/>
      <c r="DT9" s="2"/>
      <c r="DU9" s="2"/>
      <c r="DV9" s="2"/>
      <c r="DW9" s="2"/>
      <c r="DX9" s="2"/>
      <c r="DY9" s="2"/>
      <c r="DZ9" s="2"/>
      <c r="EA9" s="2"/>
      <c r="EB9" s="2"/>
      <c r="EC9" s="2"/>
      <c r="ED9" s="2"/>
      <c r="EE9" s="2"/>
      <c r="EF9" s="2"/>
      <c r="EG9" s="2"/>
      <c r="EH9" s="2"/>
      <c r="EI9" s="2"/>
      <c r="EJ9" s="2"/>
      <c r="EK9" s="2"/>
      <c r="EL9" s="2"/>
      <c r="EM9" s="2"/>
      <c r="EN9" s="2"/>
      <c r="EO9" s="2"/>
      <c r="EP9" s="2"/>
      <c r="EQ9" s="2"/>
      <c r="ER9" s="2"/>
      <c r="ES9" s="2"/>
      <c r="ET9" s="2"/>
      <c r="EU9" s="2"/>
      <c r="EV9" s="2"/>
      <c r="EW9" s="2"/>
      <c r="EX9" s="2"/>
      <c r="EY9" s="2"/>
      <c r="EZ9" s="2"/>
      <c r="FA9" s="2"/>
      <c r="FB9" s="2"/>
      <c r="FC9" s="2"/>
      <c r="FD9" s="2"/>
      <c r="FE9" s="2"/>
      <c r="FF9" s="2"/>
      <c r="FG9" s="2"/>
      <c r="FH9" s="2"/>
      <c r="FI9" s="2"/>
      <c r="FJ9" s="2"/>
      <c r="FK9" s="2"/>
      <c r="FL9" s="2"/>
      <c r="FM9" s="2"/>
      <c r="FN9" s="2"/>
      <c r="FO9" s="2"/>
      <c r="FP9" s="2"/>
      <c r="FQ9" s="2"/>
      <c r="FR9" s="2"/>
      <c r="FS9" s="2"/>
      <c r="FT9" s="2"/>
      <c r="FU9" s="2"/>
      <c r="FV9" s="2"/>
      <c r="FW9" s="2"/>
      <c r="FX9" s="2"/>
      <c r="FY9" s="2"/>
      <c r="FZ9" s="2"/>
      <c r="GA9" s="2"/>
      <c r="GB9" s="2"/>
      <c r="GC9" s="2"/>
      <c r="GD9" s="2"/>
      <c r="GE9" s="2"/>
      <c r="GF9" s="2"/>
      <c r="GG9" s="2"/>
      <c r="GH9" s="2"/>
      <c r="GI9" s="2"/>
      <c r="GJ9" s="2"/>
      <c r="GK9" s="2"/>
      <c r="GL9" s="2"/>
      <c r="GM9" s="2"/>
      <c r="GN9" s="2"/>
      <c r="GO9" s="2"/>
      <c r="GP9" s="2"/>
      <c r="GQ9" s="2"/>
      <c r="GR9" s="2"/>
      <c r="GS9" s="2"/>
      <c r="GT9" s="2"/>
      <c r="GU9" s="2"/>
      <c r="GV9" s="2"/>
      <c r="GW9" s="2"/>
      <c r="GX9" s="2"/>
      <c r="GY9" s="2"/>
      <c r="GZ9" s="2"/>
      <c r="HA9" s="2"/>
      <c r="HB9" s="2"/>
      <c r="HC9" s="2"/>
      <c r="HD9" s="2"/>
      <c r="HE9" s="2"/>
      <c r="HF9" s="2"/>
      <c r="HG9" s="2"/>
      <c r="HH9" s="2"/>
      <c r="HI9" s="2"/>
      <c r="HJ9" s="2"/>
      <c r="HK9" s="2"/>
      <c r="HL9" s="2"/>
      <c r="HM9" s="2"/>
      <c r="HN9" s="2"/>
      <c r="HO9" s="2"/>
      <c r="HP9" s="2"/>
      <c r="HQ9" s="2"/>
      <c r="HR9" s="2"/>
      <c r="HS9" s="2"/>
      <c r="HT9" s="2"/>
      <c r="HU9" s="2"/>
      <c r="HV9" s="2"/>
      <c r="HW9" s="2"/>
      <c r="HX9" s="2"/>
      <c r="HY9" s="2"/>
      <c r="HZ9" s="2"/>
      <c r="IA9" s="2"/>
      <c r="IB9" s="2"/>
      <c r="IC9" s="2"/>
      <c r="ID9" s="2"/>
    </row>
    <row r="10" s="1" customFormat="1" ht="17.4" customHeight="1" spans="1:238">
      <c r="A10" s="13"/>
      <c r="B10" s="8">
        <v>8</v>
      </c>
      <c r="C10" s="14" t="s">
        <v>70</v>
      </c>
      <c r="D10" s="15">
        <v>17.822</v>
      </c>
      <c r="E10" s="11">
        <v>4</v>
      </c>
      <c r="F10" s="12" t="s">
        <v>71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/>
      <c r="CT10" s="2"/>
      <c r="CU10" s="2"/>
      <c r="CV10" s="2"/>
      <c r="CW10" s="2"/>
      <c r="CX10" s="2"/>
      <c r="CY10" s="2"/>
      <c r="CZ10" s="2"/>
      <c r="DA10" s="2"/>
      <c r="DB10" s="2"/>
      <c r="DC10" s="2"/>
      <c r="DD10" s="2"/>
      <c r="DE10" s="2"/>
      <c r="DF10" s="2"/>
      <c r="DG10" s="2"/>
      <c r="DH10" s="2"/>
      <c r="DI10" s="2"/>
      <c r="DJ10" s="2"/>
      <c r="DK10" s="2"/>
      <c r="DL10" s="2"/>
      <c r="DM10" s="2"/>
      <c r="DN10" s="2"/>
      <c r="DO10" s="2"/>
      <c r="DP10" s="2"/>
      <c r="DQ10" s="2"/>
      <c r="DR10" s="2"/>
      <c r="DS10" s="2"/>
      <c r="DT10" s="2"/>
      <c r="DU10" s="2"/>
      <c r="DV10" s="2"/>
      <c r="DW10" s="2"/>
      <c r="DX10" s="2"/>
      <c r="DY10" s="2"/>
      <c r="DZ10" s="2"/>
      <c r="EA10" s="2"/>
      <c r="EB10" s="2"/>
      <c r="EC10" s="2"/>
      <c r="ED10" s="2"/>
      <c r="EE10" s="2"/>
      <c r="EF10" s="2"/>
      <c r="EG10" s="2"/>
      <c r="EH10" s="2"/>
      <c r="EI10" s="2"/>
      <c r="EJ10" s="2"/>
      <c r="EK10" s="2"/>
      <c r="EL10" s="2"/>
      <c r="EM10" s="2"/>
      <c r="EN10" s="2"/>
      <c r="EO10" s="2"/>
      <c r="EP10" s="2"/>
      <c r="EQ10" s="2"/>
      <c r="ER10" s="2"/>
      <c r="ES10" s="2"/>
      <c r="ET10" s="2"/>
      <c r="EU10" s="2"/>
      <c r="EV10" s="2"/>
      <c r="EW10" s="2"/>
      <c r="EX10" s="2"/>
      <c r="EY10" s="2"/>
      <c r="EZ10" s="2"/>
      <c r="FA10" s="2"/>
      <c r="FB10" s="2"/>
      <c r="FC10" s="2"/>
      <c r="FD10" s="2"/>
      <c r="FE10" s="2"/>
      <c r="FF10" s="2"/>
      <c r="FG10" s="2"/>
      <c r="FH10" s="2"/>
      <c r="FI10" s="2"/>
      <c r="FJ10" s="2"/>
      <c r="FK10" s="2"/>
      <c r="FL10" s="2"/>
      <c r="FM10" s="2"/>
      <c r="FN10" s="2"/>
      <c r="FO10" s="2"/>
      <c r="FP10" s="2"/>
      <c r="FQ10" s="2"/>
      <c r="FR10" s="2"/>
      <c r="FS10" s="2"/>
      <c r="FT10" s="2"/>
      <c r="FU10" s="2"/>
      <c r="FV10" s="2"/>
      <c r="FW10" s="2"/>
      <c r="FX10" s="2"/>
      <c r="FY10" s="2"/>
      <c r="FZ10" s="2"/>
      <c r="GA10" s="2"/>
      <c r="GB10" s="2"/>
      <c r="GC10" s="2"/>
      <c r="GD10" s="2"/>
      <c r="GE10" s="2"/>
      <c r="GF10" s="2"/>
      <c r="GG10" s="2"/>
      <c r="GH10" s="2"/>
      <c r="GI10" s="2"/>
      <c r="GJ10" s="2"/>
      <c r="GK10" s="2"/>
      <c r="GL10" s="2"/>
      <c r="GM10" s="2"/>
      <c r="GN10" s="2"/>
      <c r="GO10" s="2"/>
      <c r="GP10" s="2"/>
      <c r="GQ10" s="2"/>
      <c r="GR10" s="2"/>
      <c r="GS10" s="2"/>
      <c r="GT10" s="2"/>
      <c r="GU10" s="2"/>
      <c r="GV10" s="2"/>
      <c r="GW10" s="2"/>
      <c r="GX10" s="2"/>
      <c r="GY10" s="2"/>
      <c r="GZ10" s="2"/>
      <c r="HA10" s="2"/>
      <c r="HB10" s="2"/>
      <c r="HC10" s="2"/>
      <c r="HD10" s="2"/>
      <c r="HE10" s="2"/>
      <c r="HF10" s="2"/>
      <c r="HG10" s="2"/>
      <c r="HH10" s="2"/>
      <c r="HI10" s="2"/>
      <c r="HJ10" s="2"/>
      <c r="HK10" s="2"/>
      <c r="HL10" s="2"/>
      <c r="HM10" s="2"/>
      <c r="HN10" s="2"/>
      <c r="HO10" s="2"/>
      <c r="HP10" s="2"/>
      <c r="HQ10" s="2"/>
      <c r="HR10" s="2"/>
      <c r="HS10" s="2"/>
      <c r="HT10" s="2"/>
      <c r="HU10" s="2"/>
      <c r="HV10" s="2"/>
      <c r="HW10" s="2"/>
      <c r="HX10" s="2"/>
      <c r="HY10" s="2"/>
      <c r="HZ10" s="2"/>
      <c r="IA10" s="2"/>
      <c r="IB10" s="2"/>
      <c r="IC10" s="2"/>
      <c r="ID10" s="2"/>
    </row>
    <row r="11" s="1" customFormat="1" ht="17.4" customHeight="1" spans="1:238">
      <c r="A11" s="13"/>
      <c r="B11" s="8">
        <v>9</v>
      </c>
      <c r="C11" s="9" t="s">
        <v>72</v>
      </c>
      <c r="D11" s="15">
        <v>31.342</v>
      </c>
      <c r="E11" s="11">
        <v>0</v>
      </c>
      <c r="F11" s="12" t="s">
        <v>73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/>
      <c r="CM11" s="2"/>
      <c r="CN11" s="2"/>
      <c r="CO11" s="2"/>
      <c r="CP11" s="2"/>
      <c r="CQ11" s="2"/>
      <c r="CR11" s="2"/>
      <c r="CS11" s="2"/>
      <c r="CT11" s="2"/>
      <c r="CU11" s="2"/>
      <c r="CV11" s="2"/>
      <c r="CW11" s="2"/>
      <c r="CX11" s="2"/>
      <c r="CY11" s="2"/>
      <c r="CZ11" s="2"/>
      <c r="DA11" s="2"/>
      <c r="DB11" s="2"/>
      <c r="DC11" s="2"/>
      <c r="DD11" s="2"/>
      <c r="DE11" s="2"/>
      <c r="DF11" s="2"/>
      <c r="DG11" s="2"/>
      <c r="DH11" s="2"/>
      <c r="DI11" s="2"/>
      <c r="DJ11" s="2"/>
      <c r="DK11" s="2"/>
      <c r="DL11" s="2"/>
      <c r="DM11" s="2"/>
      <c r="DN11" s="2"/>
      <c r="DO11" s="2"/>
      <c r="DP11" s="2"/>
      <c r="DQ11" s="2"/>
      <c r="DR11" s="2"/>
      <c r="DS11" s="2"/>
      <c r="DT11" s="2"/>
      <c r="DU11" s="2"/>
      <c r="DV11" s="2"/>
      <c r="DW11" s="2"/>
      <c r="DX11" s="2"/>
      <c r="DY11" s="2"/>
      <c r="DZ11" s="2"/>
      <c r="EA11" s="2"/>
      <c r="EB11" s="2"/>
      <c r="EC11" s="2"/>
      <c r="ED11" s="2"/>
      <c r="EE11" s="2"/>
      <c r="EF11" s="2"/>
      <c r="EG11" s="2"/>
      <c r="EH11" s="2"/>
      <c r="EI11" s="2"/>
      <c r="EJ11" s="2"/>
      <c r="EK11" s="2"/>
      <c r="EL11" s="2"/>
      <c r="EM11" s="2"/>
      <c r="EN11" s="2"/>
      <c r="EO11" s="2"/>
      <c r="EP11" s="2"/>
      <c r="EQ11" s="2"/>
      <c r="ER11" s="2"/>
      <c r="ES11" s="2"/>
      <c r="ET11" s="2"/>
      <c r="EU11" s="2"/>
      <c r="EV11" s="2"/>
      <c r="EW11" s="2"/>
      <c r="EX11" s="2"/>
      <c r="EY11" s="2"/>
      <c r="EZ11" s="2"/>
      <c r="FA11" s="2"/>
      <c r="FB11" s="2"/>
      <c r="FC11" s="2"/>
      <c r="FD11" s="2"/>
      <c r="FE11" s="2"/>
      <c r="FF11" s="2"/>
      <c r="FG11" s="2"/>
      <c r="FH11" s="2"/>
      <c r="FI11" s="2"/>
      <c r="FJ11" s="2"/>
      <c r="FK11" s="2"/>
      <c r="FL11" s="2"/>
      <c r="FM11" s="2"/>
      <c r="FN11" s="2"/>
      <c r="FO11" s="2"/>
      <c r="FP11" s="2"/>
      <c r="FQ11" s="2"/>
      <c r="FR11" s="2"/>
      <c r="FS11" s="2"/>
      <c r="FT11" s="2"/>
      <c r="FU11" s="2"/>
      <c r="FV11" s="2"/>
      <c r="FW11" s="2"/>
      <c r="FX11" s="2"/>
      <c r="FY11" s="2"/>
      <c r="FZ11" s="2"/>
      <c r="GA11" s="2"/>
      <c r="GB11" s="2"/>
      <c r="GC11" s="2"/>
      <c r="GD11" s="2"/>
      <c r="GE11" s="2"/>
      <c r="GF11" s="2"/>
      <c r="GG11" s="2"/>
      <c r="GH11" s="2"/>
      <c r="GI11" s="2"/>
      <c r="GJ11" s="2"/>
      <c r="GK11" s="2"/>
      <c r="GL11" s="2"/>
      <c r="GM11" s="2"/>
      <c r="GN11" s="2"/>
      <c r="GO11" s="2"/>
      <c r="GP11" s="2"/>
      <c r="GQ11" s="2"/>
      <c r="GR11" s="2"/>
      <c r="GS11" s="2"/>
      <c r="GT11" s="2"/>
      <c r="GU11" s="2"/>
      <c r="GV11" s="2"/>
      <c r="GW11" s="2"/>
      <c r="GX11" s="2"/>
      <c r="GY11" s="2"/>
      <c r="GZ11" s="2"/>
      <c r="HA11" s="2"/>
      <c r="HB11" s="2"/>
      <c r="HC11" s="2"/>
      <c r="HD11" s="2"/>
      <c r="HE11" s="2"/>
      <c r="HF11" s="2"/>
      <c r="HG11" s="2"/>
      <c r="HH11" s="2"/>
      <c r="HI11" s="2"/>
      <c r="HJ11" s="2"/>
      <c r="HK11" s="2"/>
      <c r="HL11" s="2"/>
      <c r="HM11" s="2"/>
      <c r="HN11" s="2"/>
      <c r="HO11" s="2"/>
      <c r="HP11" s="2"/>
      <c r="HQ11" s="2"/>
      <c r="HR11" s="2"/>
      <c r="HS11" s="2"/>
      <c r="HT11" s="2"/>
      <c r="HU11" s="2"/>
      <c r="HV11" s="2"/>
      <c r="HW11" s="2"/>
      <c r="HX11" s="2"/>
      <c r="HY11" s="2"/>
      <c r="HZ11" s="2"/>
      <c r="IA11" s="2"/>
      <c r="IB11" s="2"/>
      <c r="IC11" s="2"/>
      <c r="ID11" s="2"/>
    </row>
    <row r="12" s="1" customFormat="1" ht="14.25" spans="1:238">
      <c r="A12" s="13"/>
      <c r="B12" s="8">
        <v>10</v>
      </c>
      <c r="C12" s="14" t="s">
        <v>74</v>
      </c>
      <c r="D12" s="15">
        <v>18.3955</v>
      </c>
      <c r="E12" s="11">
        <v>3</v>
      </c>
      <c r="F12" s="12" t="s">
        <v>75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2"/>
      <c r="CE12" s="2"/>
      <c r="CF12" s="2"/>
      <c r="CG12" s="2"/>
      <c r="CH12" s="2"/>
      <c r="CI12" s="2"/>
      <c r="CJ12" s="2"/>
      <c r="CK12" s="2"/>
      <c r="CL12" s="2"/>
      <c r="CM12" s="2"/>
      <c r="CN12" s="2"/>
      <c r="CO12" s="2"/>
      <c r="CP12" s="2"/>
      <c r="CQ12" s="2"/>
      <c r="CR12" s="2"/>
      <c r="CS12" s="2"/>
      <c r="CT12" s="2"/>
      <c r="CU12" s="2"/>
      <c r="CV12" s="2"/>
      <c r="CW12" s="2"/>
      <c r="CX12" s="2"/>
      <c r="CY12" s="2"/>
      <c r="CZ12" s="2"/>
      <c r="DA12" s="2"/>
      <c r="DB12" s="2"/>
      <c r="DC12" s="2"/>
      <c r="DD12" s="2"/>
      <c r="DE12" s="2"/>
      <c r="DF12" s="2"/>
      <c r="DG12" s="2"/>
      <c r="DH12" s="2"/>
      <c r="DI12" s="2"/>
      <c r="DJ12" s="2"/>
      <c r="DK12" s="2"/>
      <c r="DL12" s="2"/>
      <c r="DM12" s="2"/>
      <c r="DN12" s="2"/>
      <c r="DO12" s="2"/>
      <c r="DP12" s="2"/>
      <c r="DQ12" s="2"/>
      <c r="DR12" s="2"/>
      <c r="DS12" s="2"/>
      <c r="DT12" s="2"/>
      <c r="DU12" s="2"/>
      <c r="DV12" s="2"/>
      <c r="DW12" s="2"/>
      <c r="DX12" s="2"/>
      <c r="DY12" s="2"/>
      <c r="DZ12" s="2"/>
      <c r="EA12" s="2"/>
      <c r="EB12" s="2"/>
      <c r="EC12" s="2"/>
      <c r="ED12" s="2"/>
      <c r="EE12" s="2"/>
      <c r="EF12" s="2"/>
      <c r="EG12" s="2"/>
      <c r="EH12" s="2"/>
      <c r="EI12" s="2"/>
      <c r="EJ12" s="2"/>
      <c r="EK12" s="2"/>
      <c r="EL12" s="2"/>
      <c r="EM12" s="2"/>
      <c r="EN12" s="2"/>
      <c r="EO12" s="2"/>
      <c r="EP12" s="2"/>
      <c r="EQ12" s="2"/>
      <c r="ER12" s="2"/>
      <c r="ES12" s="2"/>
      <c r="ET12" s="2"/>
      <c r="EU12" s="2"/>
      <c r="EV12" s="2"/>
      <c r="EW12" s="2"/>
      <c r="EX12" s="2"/>
      <c r="EY12" s="2"/>
      <c r="EZ12" s="2"/>
      <c r="FA12" s="2"/>
      <c r="FB12" s="2"/>
      <c r="FC12" s="2"/>
      <c r="FD12" s="2"/>
      <c r="FE12" s="2"/>
      <c r="FF12" s="2"/>
      <c r="FG12" s="2"/>
      <c r="FH12" s="2"/>
      <c r="FI12" s="2"/>
      <c r="FJ12" s="2"/>
      <c r="FK12" s="2"/>
      <c r="FL12" s="2"/>
      <c r="FM12" s="2"/>
      <c r="FN12" s="2"/>
      <c r="FO12" s="2"/>
      <c r="FP12" s="2"/>
      <c r="FQ12" s="2"/>
      <c r="FR12" s="2"/>
      <c r="FS12" s="2"/>
      <c r="FT12" s="2"/>
      <c r="FU12" s="2"/>
      <c r="FV12" s="2"/>
      <c r="FW12" s="2"/>
      <c r="FX12" s="2"/>
      <c r="FY12" s="2"/>
      <c r="FZ12" s="2"/>
      <c r="GA12" s="2"/>
      <c r="GB12" s="2"/>
      <c r="GC12" s="2"/>
      <c r="GD12" s="2"/>
      <c r="GE12" s="2"/>
      <c r="GF12" s="2"/>
      <c r="GG12" s="2"/>
      <c r="GH12" s="2"/>
      <c r="GI12" s="2"/>
      <c r="GJ12" s="2"/>
      <c r="GK12" s="2"/>
      <c r="GL12" s="2"/>
      <c r="GM12" s="2"/>
      <c r="GN12" s="2"/>
      <c r="GO12" s="2"/>
      <c r="GP12" s="2"/>
      <c r="GQ12" s="2"/>
      <c r="GR12" s="2"/>
      <c r="GS12" s="2"/>
      <c r="GT12" s="2"/>
      <c r="GU12" s="2"/>
      <c r="GV12" s="2"/>
      <c r="GW12" s="2"/>
      <c r="GX12" s="2"/>
      <c r="GY12" s="2"/>
      <c r="GZ12" s="2"/>
      <c r="HA12" s="2"/>
      <c r="HB12" s="2"/>
      <c r="HC12" s="2"/>
      <c r="HD12" s="2"/>
      <c r="HE12" s="2"/>
      <c r="HF12" s="2"/>
      <c r="HG12" s="2"/>
      <c r="HH12" s="2"/>
      <c r="HI12" s="2"/>
      <c r="HJ12" s="2"/>
      <c r="HK12" s="2"/>
      <c r="HL12" s="2"/>
      <c r="HM12" s="2"/>
      <c r="HN12" s="2"/>
      <c r="HO12" s="2"/>
      <c r="HP12" s="2"/>
      <c r="HQ12" s="2"/>
      <c r="HR12" s="2"/>
      <c r="HS12" s="2"/>
      <c r="HT12" s="2"/>
      <c r="HU12" s="2"/>
      <c r="HV12" s="2"/>
      <c r="HW12" s="2"/>
      <c r="HX12" s="2"/>
      <c r="HY12" s="2"/>
      <c r="HZ12" s="2"/>
      <c r="IA12" s="2"/>
      <c r="IB12" s="2"/>
      <c r="IC12" s="2"/>
      <c r="ID12" s="2"/>
    </row>
    <row r="13" ht="14.25" spans="1:6">
      <c r="A13" s="13"/>
      <c r="B13" s="8">
        <v>11</v>
      </c>
      <c r="C13" s="14" t="s">
        <v>76</v>
      </c>
      <c r="D13" s="15">
        <v>31.2285</v>
      </c>
      <c r="E13" s="11">
        <v>6</v>
      </c>
      <c r="F13" s="12" t="s">
        <v>77</v>
      </c>
    </row>
    <row r="14" ht="14.25" spans="1:6">
      <c r="A14" s="13"/>
      <c r="B14" s="8">
        <v>12</v>
      </c>
      <c r="C14" s="14" t="s">
        <v>78</v>
      </c>
      <c r="D14" s="15">
        <v>26.568</v>
      </c>
      <c r="E14" s="11">
        <v>1</v>
      </c>
      <c r="F14" s="12" t="s">
        <v>79</v>
      </c>
    </row>
    <row r="15" ht="14.25" spans="1:17">
      <c r="A15" s="13"/>
      <c r="B15" s="8">
        <v>13</v>
      </c>
      <c r="C15" s="14" t="s">
        <v>80</v>
      </c>
      <c r="D15" s="15">
        <v>25.996</v>
      </c>
      <c r="E15" s="11">
        <v>1</v>
      </c>
      <c r="F15" s="12" t="s">
        <v>81</v>
      </c>
      <c r="Q15" s="2">
        <v>54.91</v>
      </c>
    </row>
    <row r="16" ht="14.25" spans="1:17">
      <c r="A16" s="13"/>
      <c r="B16" s="8">
        <v>14</v>
      </c>
      <c r="C16" s="14" t="s">
        <v>82</v>
      </c>
      <c r="D16" s="15">
        <v>17.998</v>
      </c>
      <c r="E16" s="11">
        <v>1</v>
      </c>
      <c r="F16" s="12" t="s">
        <v>83</v>
      </c>
      <c r="Q16" s="2">
        <v>49.95</v>
      </c>
    </row>
    <row r="17" ht="14.25" spans="1:17">
      <c r="A17" s="13"/>
      <c r="B17" s="8">
        <v>15</v>
      </c>
      <c r="C17" s="14" t="s">
        <v>84</v>
      </c>
      <c r="D17" s="15">
        <v>15.936</v>
      </c>
      <c r="E17" s="16" t="s">
        <v>85</v>
      </c>
      <c r="F17" s="12" t="s">
        <v>86</v>
      </c>
      <c r="Q17" s="2">
        <v>42.01</v>
      </c>
    </row>
    <row r="18" ht="14.25" spans="1:17">
      <c r="A18" s="13"/>
      <c r="B18" s="8">
        <v>16</v>
      </c>
      <c r="C18" s="14" t="s">
        <v>87</v>
      </c>
      <c r="D18" s="15">
        <v>26.448</v>
      </c>
      <c r="E18" s="16">
        <v>1</v>
      </c>
      <c r="F18" s="12" t="s">
        <v>88</v>
      </c>
      <c r="Q18" s="2">
        <v>41.82</v>
      </c>
    </row>
    <row r="19" ht="14.25" spans="1:17">
      <c r="A19" s="13"/>
      <c r="B19" s="8">
        <v>17</v>
      </c>
      <c r="C19" s="14" t="s">
        <v>89</v>
      </c>
      <c r="D19" s="15">
        <v>24.398</v>
      </c>
      <c r="E19" s="11">
        <v>1</v>
      </c>
      <c r="F19" s="12" t="s">
        <v>90</v>
      </c>
      <c r="Q19" s="2">
        <v>42.13</v>
      </c>
    </row>
    <row r="20" ht="14.25" spans="1:6">
      <c r="A20" s="13"/>
      <c r="B20" s="8">
        <v>18</v>
      </c>
      <c r="C20" s="14" t="s">
        <v>91</v>
      </c>
      <c r="D20" s="15">
        <v>25.984</v>
      </c>
      <c r="E20" s="11">
        <v>1</v>
      </c>
      <c r="F20" s="12" t="s">
        <v>92</v>
      </c>
    </row>
    <row r="21" ht="14.25" spans="1:6">
      <c r="A21" s="13"/>
      <c r="B21" s="8">
        <v>19</v>
      </c>
      <c r="C21" s="14" t="s">
        <v>93</v>
      </c>
      <c r="D21" s="15">
        <v>28.66</v>
      </c>
      <c r="E21" s="11">
        <v>3</v>
      </c>
      <c r="F21" s="12" t="s">
        <v>94</v>
      </c>
    </row>
    <row r="22" ht="14.25" spans="1:6">
      <c r="A22" s="13"/>
      <c r="B22" s="8">
        <v>20</v>
      </c>
      <c r="C22" s="14" t="s">
        <v>95</v>
      </c>
      <c r="D22" s="15">
        <v>13.544</v>
      </c>
      <c r="E22" s="11">
        <v>1</v>
      </c>
      <c r="F22" s="12" t="s">
        <v>96</v>
      </c>
    </row>
    <row r="23" ht="14.25" spans="1:6">
      <c r="A23" s="13"/>
      <c r="B23" s="8">
        <v>21</v>
      </c>
      <c r="C23" s="14" t="s">
        <v>97</v>
      </c>
      <c r="D23" s="15">
        <v>13.214</v>
      </c>
      <c r="E23" s="11">
        <v>1</v>
      </c>
      <c r="F23" s="12" t="s">
        <v>98</v>
      </c>
    </row>
    <row r="24" ht="14.25" spans="1:6">
      <c r="A24" s="13"/>
      <c r="B24" s="8">
        <v>22</v>
      </c>
      <c r="C24" s="14" t="s">
        <v>99</v>
      </c>
      <c r="D24" s="15">
        <v>25.149</v>
      </c>
      <c r="E24" s="11">
        <v>3</v>
      </c>
      <c r="F24" s="12" t="s">
        <v>100</v>
      </c>
    </row>
    <row r="25" ht="14.25" spans="1:6">
      <c r="A25" s="13"/>
      <c r="B25" s="8">
        <v>23</v>
      </c>
      <c r="C25" s="14" t="s">
        <v>101</v>
      </c>
      <c r="D25" s="15">
        <v>26.038</v>
      </c>
      <c r="E25" s="11">
        <v>2</v>
      </c>
      <c r="F25" s="12" t="s">
        <v>102</v>
      </c>
    </row>
    <row r="26" ht="14.25" spans="1:6">
      <c r="A26" s="13"/>
      <c r="B26" s="8">
        <v>24</v>
      </c>
      <c r="C26" s="14" t="s">
        <v>103</v>
      </c>
      <c r="D26" s="15">
        <v>24.838</v>
      </c>
      <c r="E26" s="11">
        <v>1</v>
      </c>
      <c r="F26" s="12" t="s">
        <v>104</v>
      </c>
    </row>
    <row r="27" ht="14.25" spans="1:6">
      <c r="A27" s="13"/>
      <c r="B27" s="8">
        <v>25</v>
      </c>
      <c r="C27" s="14" t="s">
        <v>105</v>
      </c>
      <c r="D27" s="15">
        <v>8.07</v>
      </c>
      <c r="E27" s="11">
        <v>1</v>
      </c>
      <c r="F27" s="12" t="s">
        <v>106</v>
      </c>
    </row>
    <row r="28" ht="14.25" spans="1:6">
      <c r="A28" s="17"/>
      <c r="B28" s="8">
        <v>26</v>
      </c>
      <c r="C28" s="14" t="s">
        <v>107</v>
      </c>
      <c r="D28" s="15">
        <v>24.88</v>
      </c>
      <c r="E28" s="11">
        <v>1</v>
      </c>
      <c r="F28" s="12" t="s">
        <v>108</v>
      </c>
    </row>
    <row r="29" ht="14.25" spans="1:6">
      <c r="A29" s="8"/>
      <c r="B29" s="8"/>
      <c r="C29" s="18" t="s">
        <v>50</v>
      </c>
      <c r="D29" s="19">
        <f>SUM(D3:D28)</f>
        <v>590.9332</v>
      </c>
      <c r="E29" s="19"/>
      <c r="F29" s="12"/>
    </row>
    <row r="30" ht="14.25" spans="1:6">
      <c r="A30" s="8"/>
      <c r="B30" s="8"/>
      <c r="C30" s="18" t="s">
        <v>51</v>
      </c>
      <c r="D30" s="19">
        <f>MAX(D3:D28)</f>
        <v>33.204</v>
      </c>
      <c r="E30" s="16"/>
      <c r="F30" s="12"/>
    </row>
    <row r="31" ht="14.25" spans="1:6">
      <c r="A31" s="8"/>
      <c r="B31" s="8"/>
      <c r="C31" s="18" t="s">
        <v>52</v>
      </c>
      <c r="D31" s="20">
        <f>D29/D30/26</f>
        <v>0.68450186724491</v>
      </c>
      <c r="E31" s="16"/>
      <c r="F31" s="12"/>
    </row>
    <row r="32" ht="14.25" spans="1:7">
      <c r="A32" s="21"/>
      <c r="B32" s="21"/>
      <c r="C32" s="21"/>
      <c r="D32" s="21"/>
      <c r="E32" s="21"/>
      <c r="F32" s="21"/>
      <c r="G32" s="21"/>
    </row>
    <row r="33" ht="14.25" spans="1:7">
      <c r="A33" s="21"/>
      <c r="B33" s="21"/>
      <c r="C33" s="21"/>
      <c r="D33" s="21"/>
      <c r="E33" s="21"/>
      <c r="F33" s="21"/>
      <c r="G33" s="21"/>
    </row>
    <row r="34" ht="14.25" spans="1:6">
      <c r="A34" s="21"/>
      <c r="B34" s="21"/>
      <c r="C34" s="21"/>
      <c r="D34" s="21"/>
      <c r="E34" s="21"/>
      <c r="F34" s="21"/>
    </row>
    <row r="35" ht="14.25" spans="1:6">
      <c r="A35" s="21"/>
      <c r="B35" s="21"/>
      <c r="C35" s="21"/>
      <c r="D35" s="21"/>
      <c r="E35" s="21"/>
      <c r="F35" s="21"/>
    </row>
    <row r="36" ht="14.25" spans="1:11">
      <c r="A36" s="22"/>
      <c r="B36" s="21"/>
      <c r="C36" s="21"/>
      <c r="D36" s="21"/>
      <c r="E36" s="21"/>
      <c r="F36" s="21"/>
      <c r="J36" s="2" t="s">
        <v>109</v>
      </c>
      <c r="K36" s="27">
        <v>26.1966666666667</v>
      </c>
    </row>
    <row r="37" spans="1:11">
      <c r="A37" s="23"/>
      <c r="B37" s="23" t="s">
        <v>99</v>
      </c>
      <c r="C37" s="24" t="s">
        <v>91</v>
      </c>
      <c r="D37" s="23" t="s">
        <v>110</v>
      </c>
      <c r="E37" s="23" t="s">
        <v>111</v>
      </c>
      <c r="F37" s="23" t="s">
        <v>110</v>
      </c>
      <c r="J37" s="2" t="s">
        <v>31</v>
      </c>
      <c r="K37" s="27">
        <f>91.7816666666667/3</f>
        <v>30.5938888888889</v>
      </c>
    </row>
    <row r="38" spans="1:11">
      <c r="A38" s="23"/>
      <c r="B38" s="23"/>
      <c r="C38" s="24">
        <v>40.1</v>
      </c>
      <c r="D38" s="23"/>
      <c r="E38" s="23"/>
      <c r="F38" s="23">
        <v>112.44</v>
      </c>
      <c r="J38" s="2" t="s">
        <v>110</v>
      </c>
      <c r="K38" s="27">
        <f>114.335/4</f>
        <v>28.58375</v>
      </c>
    </row>
    <row r="39" spans="1:11">
      <c r="A39" s="23"/>
      <c r="B39" s="23"/>
      <c r="C39" s="24">
        <v>42.84</v>
      </c>
      <c r="E39" s="23">
        <v>43.81</v>
      </c>
      <c r="F39" s="23">
        <v>108.17</v>
      </c>
      <c r="J39" s="2" t="s">
        <v>112</v>
      </c>
      <c r="K39" s="27">
        <v>24.89</v>
      </c>
    </row>
    <row r="40" spans="1:11">
      <c r="A40" s="23"/>
      <c r="B40" s="23">
        <v>78.6</v>
      </c>
      <c r="C40" s="24">
        <v>39.82</v>
      </c>
      <c r="D40" s="23">
        <v>116</v>
      </c>
      <c r="E40" s="23">
        <v>47.15</v>
      </c>
      <c r="F40" s="23"/>
      <c r="J40" s="2" t="s">
        <v>113</v>
      </c>
      <c r="K40" s="27">
        <v>32.0916666666667</v>
      </c>
    </row>
    <row r="41" spans="1:11">
      <c r="A41" s="23"/>
      <c r="B41" s="23">
        <v>71.42</v>
      </c>
      <c r="C41" s="24">
        <v>32.06</v>
      </c>
      <c r="D41" s="23">
        <v>116.5</v>
      </c>
      <c r="E41" s="23">
        <v>46.2</v>
      </c>
      <c r="F41" s="23"/>
      <c r="J41" s="2" t="s">
        <v>99</v>
      </c>
      <c r="K41" s="27">
        <f>62.1433333333333/2</f>
        <v>31.0716666666667</v>
      </c>
    </row>
    <row r="42" spans="1:11">
      <c r="A42" s="23"/>
      <c r="B42" s="23">
        <v>67.37</v>
      </c>
      <c r="C42" s="24">
        <v>39.03</v>
      </c>
      <c r="D42" s="23">
        <v>116</v>
      </c>
      <c r="E42" s="23">
        <v>48.61</v>
      </c>
      <c r="F42" s="23"/>
      <c r="J42" s="2" t="s">
        <v>114</v>
      </c>
      <c r="K42" s="27">
        <v>35.0425</v>
      </c>
    </row>
    <row r="43" spans="1:11">
      <c r="A43" s="23"/>
      <c r="B43" s="23">
        <v>72.53</v>
      </c>
      <c r="C43" s="24">
        <v>33.24</v>
      </c>
      <c r="D43" s="25">
        <v>156.83</v>
      </c>
      <c r="E43" s="23">
        <v>46.4425</v>
      </c>
      <c r="F43" s="23">
        <v>110.305</v>
      </c>
      <c r="J43" s="2" t="s">
        <v>109</v>
      </c>
      <c r="K43" s="27">
        <v>31.155</v>
      </c>
    </row>
    <row r="44" spans="1:6">
      <c r="A44" s="23" t="s">
        <v>115</v>
      </c>
      <c r="B44" s="23">
        <f>AVERAGE(B40:B43)</f>
        <v>72.48</v>
      </c>
      <c r="C44" s="26">
        <f>AVERAGE(C38:C43)</f>
        <v>37.8483333333333</v>
      </c>
      <c r="D44" s="23">
        <v>116</v>
      </c>
      <c r="E44" s="23">
        <v>23.22125</v>
      </c>
      <c r="F44" s="23">
        <v>27.57625</v>
      </c>
    </row>
    <row r="45" spans="1:6">
      <c r="A45" s="23"/>
      <c r="B45" s="23">
        <f>B44/2</f>
        <v>36.24</v>
      </c>
      <c r="C45" s="24"/>
      <c r="D45" s="23"/>
      <c r="E45" s="23"/>
      <c r="F45" s="23"/>
    </row>
    <row r="47" spans="5:5">
      <c r="E47" s="2"/>
    </row>
    <row r="48" spans="5:5">
      <c r="E48" s="2"/>
    </row>
    <row r="49" spans="5:5">
      <c r="E49" s="2"/>
    </row>
    <row r="50" spans="5:5">
      <c r="E50" s="2"/>
    </row>
    <row r="51" spans="5:5">
      <c r="E51" s="2"/>
    </row>
    <row r="52" spans="5:5">
      <c r="E52" s="2"/>
    </row>
    <row r="53" spans="5:5">
      <c r="E53" s="2"/>
    </row>
    <row r="54" spans="5:5">
      <c r="E54" s="2"/>
    </row>
    <row r="55" spans="5:5">
      <c r="E55" s="2"/>
    </row>
    <row r="56" spans="5:5">
      <c r="E56" s="2"/>
    </row>
    <row r="57" spans="5:5">
      <c r="E57" s="2"/>
    </row>
    <row r="58" spans="5:5">
      <c r="E58" s="2"/>
    </row>
    <row r="59" spans="5:5">
      <c r="E59" s="2"/>
    </row>
    <row r="60" spans="5:5">
      <c r="E60" s="2"/>
    </row>
    <row r="61" spans="5:5">
      <c r="E61" s="2"/>
    </row>
    <row r="62" spans="5:5">
      <c r="E62" s="2"/>
    </row>
    <row r="63" spans="5:5">
      <c r="E63" s="2"/>
    </row>
    <row r="64" spans="5:5">
      <c r="E64" s="2"/>
    </row>
    <row r="65" spans="5:5">
      <c r="E65" s="2"/>
    </row>
    <row r="66" spans="5:5">
      <c r="E66" s="2"/>
    </row>
    <row r="67" spans="5:5">
      <c r="E67" s="2"/>
    </row>
    <row r="68" spans="5:5">
      <c r="E68" s="2"/>
    </row>
    <row r="69" spans="5:5">
      <c r="E69" s="2"/>
    </row>
    <row r="70" spans="5:5">
      <c r="E70" s="2"/>
    </row>
    <row r="71" spans="5:5">
      <c r="E71" s="2"/>
    </row>
    <row r="72" spans="5:5">
      <c r="E72" s="2"/>
    </row>
    <row r="73" spans="5:5">
      <c r="E73" s="2"/>
    </row>
    <row r="74" spans="5:5">
      <c r="E74" s="2"/>
    </row>
    <row r="75" spans="5:5">
      <c r="E75" s="2"/>
    </row>
    <row r="76" spans="5:5">
      <c r="E76" s="2"/>
    </row>
    <row r="77" spans="5:5">
      <c r="E77" s="2"/>
    </row>
    <row r="78" spans="5:5">
      <c r="E78" s="2"/>
    </row>
    <row r="79" spans="5:5">
      <c r="E79" s="2"/>
    </row>
    <row r="80" spans="5:5">
      <c r="E80" s="2"/>
    </row>
    <row r="81" spans="5:5">
      <c r="E81" s="2"/>
    </row>
    <row r="82" spans="5:5">
      <c r="E82" s="2"/>
    </row>
    <row r="83" spans="5:5">
      <c r="E83" s="2"/>
    </row>
    <row r="84" spans="5:5">
      <c r="E84" s="2"/>
    </row>
    <row r="85" spans="5:5">
      <c r="E85" s="2"/>
    </row>
    <row r="86" spans="5:5">
      <c r="E86" s="2"/>
    </row>
    <row r="87" spans="5:5">
      <c r="E87" s="2"/>
    </row>
    <row r="88" spans="5:5">
      <c r="E88" s="2"/>
    </row>
    <row r="89" spans="5:5">
      <c r="E89" s="2"/>
    </row>
    <row r="90" spans="5:5">
      <c r="E90" s="2"/>
    </row>
    <row r="91" spans="5:5">
      <c r="E91" s="2"/>
    </row>
    <row r="92" spans="5:5">
      <c r="E92" s="2"/>
    </row>
    <row r="93" spans="5:5">
      <c r="E93" s="2"/>
    </row>
    <row r="94" spans="5:5">
      <c r="E94" s="2"/>
    </row>
    <row r="95" spans="5:5">
      <c r="E95" s="2"/>
    </row>
    <row r="96" spans="5:5">
      <c r="E96" s="2"/>
    </row>
    <row r="97" spans="5:5">
      <c r="E97" s="2"/>
    </row>
    <row r="98" spans="5:5">
      <c r="E98" s="2"/>
    </row>
    <row r="99" spans="5:5">
      <c r="E99" s="2"/>
    </row>
    <row r="100" spans="5:5">
      <c r="E100" s="2"/>
    </row>
    <row r="101" spans="5:5">
      <c r="E101" s="2"/>
    </row>
    <row r="102" spans="5:5">
      <c r="E102" s="2"/>
    </row>
    <row r="103" spans="5:5">
      <c r="E103" s="2"/>
    </row>
    <row r="104" spans="5:5">
      <c r="E104" s="2"/>
    </row>
    <row r="105" spans="5:5">
      <c r="E105" s="2"/>
    </row>
  </sheetData>
  <mergeCells count="2">
    <mergeCell ref="A1:F1"/>
    <mergeCell ref="A3:A28"/>
  </mergeCells>
  <pageMargins left="0.7" right="0.7" top="0.75" bottom="0.75" header="0.3" footer="0.3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G12" sqref="G12"/>
    </sheetView>
  </sheetViews>
  <sheetFormatPr defaultColWidth="9" defaultRowHeight="13.5" outlineLevelRow="5" outlineLevelCol="1"/>
  <cols>
    <col min="2" max="2" width="13.5" customWidth="1"/>
  </cols>
  <sheetData>
    <row r="1" spans="1:2">
      <c r="A1" t="s">
        <v>116</v>
      </c>
      <c r="B1" t="s">
        <v>117</v>
      </c>
    </row>
    <row r="2" spans="1:2">
      <c r="A2" t="s">
        <v>118</v>
      </c>
      <c r="B2" t="s">
        <v>119</v>
      </c>
    </row>
    <row r="3" spans="1:2">
      <c r="A3" t="s">
        <v>120</v>
      </c>
      <c r="B3" t="s">
        <v>121</v>
      </c>
    </row>
    <row r="4" spans="1:2">
      <c r="A4" t="s">
        <v>122</v>
      </c>
      <c r="B4" t="s">
        <v>123</v>
      </c>
    </row>
    <row r="5" spans="1:2">
      <c r="A5" t="s">
        <v>124</v>
      </c>
      <c r="B5" t="s">
        <v>125</v>
      </c>
    </row>
    <row r="6" spans="1:2">
      <c r="A6" t="s">
        <v>126</v>
      </c>
      <c r="B6" t="s">
        <v>127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焊接</vt:lpstr>
      <vt:lpstr>水箱预装</vt:lpstr>
      <vt:lpstr>货物车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 Xiaofeng 穆晓凤 (1169)</dc:creator>
  <cp:lastModifiedBy>余东阳</cp:lastModifiedBy>
  <dcterms:created xsi:type="dcterms:W3CDTF">2006-09-13T11:21:00Z</dcterms:created>
  <dcterms:modified xsi:type="dcterms:W3CDTF">2020-12-08T15:09:08Z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